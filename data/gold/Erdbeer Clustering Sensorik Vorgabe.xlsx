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J:\Aroma\Flavor Development\Portfolio Management\K_AI\"/>
    </mc:Choice>
  </mc:AlternateContent>
  <xr:revisionPtr revIDLastSave="0" documentId="13_ncr:1_{2D1D5515-4FAE-4FB3-A93E-436FB223837C}" xr6:coauthVersionLast="47" xr6:coauthVersionMax="47" xr10:uidLastSave="{00000000-0000-0000-0000-000000000000}"/>
  <bookViews>
    <workbookView xWindow="-110" yWindow="-110" windowWidth="19420" windowHeight="11500" xr2:uid="{41210865-F3E7-4CFB-AA9B-77A6475D37BD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30" i="1" l="1"/>
</calcChain>
</file>

<file path=xl/sharedStrings.xml><?xml version="1.0" encoding="utf-8"?>
<sst xmlns="http://schemas.openxmlformats.org/spreadsheetml/2006/main" count="120" uniqueCount="111">
  <si>
    <t>Deskriptoren allgemein</t>
  </si>
  <si>
    <t>Rohstoff</t>
  </si>
  <si>
    <t xml:space="preserve">R-Nr. </t>
  </si>
  <si>
    <t>Alternative R-Nr.</t>
  </si>
  <si>
    <t>CAS-Nr.</t>
  </si>
  <si>
    <t>warm</t>
  </si>
  <si>
    <t>blonde caramel</t>
  </si>
  <si>
    <t>maltol</t>
  </si>
  <si>
    <t>R01710</t>
  </si>
  <si>
    <t>R01900</t>
  </si>
  <si>
    <t>118-71-8</t>
  </si>
  <si>
    <t>cotton candy</t>
  </si>
  <si>
    <t>Furaneol</t>
  </si>
  <si>
    <t>vanilla</t>
  </si>
  <si>
    <t>Vanillin</t>
  </si>
  <si>
    <t>floral</t>
  </si>
  <si>
    <t>Jasmin</t>
  </si>
  <si>
    <t>Jasmin-Absolue</t>
  </si>
  <si>
    <t>R00018</t>
  </si>
  <si>
    <t>8022-96-6</t>
  </si>
  <si>
    <t>Walderdbeere</t>
  </si>
  <si>
    <t>Methylanthranilat</t>
  </si>
  <si>
    <t>R01718</t>
  </si>
  <si>
    <t>R02072</t>
  </si>
  <si>
    <t>134-20-3</t>
  </si>
  <si>
    <t>Dimethylanthranilat</t>
  </si>
  <si>
    <t>green</t>
  </si>
  <si>
    <t>grassy</t>
  </si>
  <si>
    <t>cis-3-Hexenol</t>
  </si>
  <si>
    <t>R01563</t>
  </si>
  <si>
    <t>R01956</t>
  </si>
  <si>
    <t>928-96-1</t>
  </si>
  <si>
    <t>leafy</t>
  </si>
  <si>
    <t>trans-2-Hexenol</t>
  </si>
  <si>
    <t>R01796</t>
  </si>
  <si>
    <t>R01907</t>
  </si>
  <si>
    <t>2305-21-7</t>
  </si>
  <si>
    <t>fresh</t>
  </si>
  <si>
    <t>trans-2-Hexenal</t>
  </si>
  <si>
    <t>R01798</t>
  </si>
  <si>
    <t>R01904</t>
  </si>
  <si>
    <t>6728-26-3</t>
  </si>
  <si>
    <t>dairy</t>
  </si>
  <si>
    <t>buttery</t>
  </si>
  <si>
    <t>diacetyl</t>
  </si>
  <si>
    <t>R01593</t>
  </si>
  <si>
    <t>R02142</t>
  </si>
  <si>
    <t>431-03-8</t>
  </si>
  <si>
    <t>creamy</t>
  </si>
  <si>
    <t>Acetoin</t>
  </si>
  <si>
    <t>R01501</t>
  </si>
  <si>
    <t>R01970</t>
  </si>
  <si>
    <t>513-86-0</t>
  </si>
  <si>
    <t>unpleasant</t>
  </si>
  <si>
    <t>musty</t>
  </si>
  <si>
    <t>Hexansäure kräftig</t>
  </si>
  <si>
    <t>R02379</t>
  </si>
  <si>
    <t>R01950</t>
  </si>
  <si>
    <t>142-62-1</t>
  </si>
  <si>
    <t>cooked/ jammy</t>
  </si>
  <si>
    <t>Dimethylsulfid</t>
  </si>
  <si>
    <t>R01601</t>
  </si>
  <si>
    <t>75-18-3</t>
  </si>
  <si>
    <t>Black List</t>
  </si>
  <si>
    <t>Frequency</t>
  </si>
  <si>
    <t>Recipes_Count</t>
  </si>
  <si>
    <t>Avg_Norm_When_Present</t>
  </si>
  <si>
    <t>Avg_Norm_All_Recipes</t>
  </si>
  <si>
    <t>Med_Norm_When_Present</t>
  </si>
  <si>
    <t>Med_Norm_All_Recipes</t>
  </si>
  <si>
    <t>2432-51-1</t>
  </si>
  <si>
    <t>S-(Methylthio)butyrat</t>
  </si>
  <si>
    <t>3025-30-7</t>
  </si>
  <si>
    <t>Ethyl-trans,cis-2,4-decadienoat, natürlich Halal</t>
  </si>
  <si>
    <t xml:space="preserve">25152-84-5 </t>
  </si>
  <si>
    <t>trans,trans-2,4-Decadienal Halal</t>
  </si>
  <si>
    <t>13532-18-8</t>
  </si>
  <si>
    <t>Methyl-3-(methylthio)propionat</t>
  </si>
  <si>
    <t>sulphurous</t>
  </si>
  <si>
    <t>fruity</t>
  </si>
  <si>
    <t>waffle</t>
  </si>
  <si>
    <t>3658-77-3</t>
  </si>
  <si>
    <t>R02032</t>
  </si>
  <si>
    <t>R01899</t>
  </si>
  <si>
    <t>121-33-5</t>
  </si>
  <si>
    <t>85-91-6</t>
  </si>
  <si>
    <t>R02101</t>
  </si>
  <si>
    <t>Target Recipes</t>
  </si>
  <si>
    <t>187.657</t>
  </si>
  <si>
    <t>188.412</t>
  </si>
  <si>
    <t>Regeln/ Notizen</t>
  </si>
  <si>
    <t>alle drei Rohstoffe müssen vorhanden sein</t>
  </si>
  <si>
    <t>185.237</t>
  </si>
  <si>
    <t>186.277</t>
  </si>
  <si>
    <t>187.800</t>
  </si>
  <si>
    <t>187.894</t>
  </si>
  <si>
    <t>185.294</t>
  </si>
  <si>
    <t>185.267</t>
  </si>
  <si>
    <t>wenn Rohstoff vorhanden</t>
  </si>
  <si>
    <t>keine eindeutige Regel gefunden</t>
  </si>
  <si>
    <t>&gt;0,0009 eindeutig</t>
  </si>
  <si>
    <t>Cluster</t>
  </si>
  <si>
    <t>&gt; 0,004 eindeutig</t>
  </si>
  <si>
    <t>185.028</t>
  </si>
  <si>
    <t>beide Rohstoffe müssen vorhanden sein</t>
  </si>
  <si>
    <t>188.740</t>
  </si>
  <si>
    <t>Isoamylacetat</t>
  </si>
  <si>
    <t>Banane</t>
  </si>
  <si>
    <t>123-92-2</t>
  </si>
  <si>
    <t>&gt; 0,1 eindeutig</t>
  </si>
  <si>
    <t>187.772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</si>
</sst>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0" fontId="1" fillId="0" borderId="3" xfId="0" applyFont="1" applyBorder="1"/>
    <xf numFmtId="0" fontId="1" fillId="0" borderId="4" xfId="0" applyFont="1" applyBorder="1"/>
    <xf numFmtId="0" fontId="1" fillId="0" borderId="5" xfId="0" applyFont="1" applyBorder="1"/>
    <xf numFmtId="0" fontId="0" fillId="0" borderId="5" xfId="0" applyBorder="1"/>
    <xf numFmtId="0" fontId="0" fillId="0" borderId="6" xfId="0" applyBorder="1"/>
    <xf numFmtId="49" fontId="0" fillId="0" borderId="6" xfId="0" applyNumberFormat="1" applyBorder="1"/>
    <xf numFmtId="0" fontId="2" fillId="0" borderId="6" xfId="0" applyFont="1" applyBorder="1"/>
    <xf numFmtId="0" fontId="0" fillId="0" borderId="8" xfId="0" applyBorder="1"/>
    <xf numFmtId="0" fontId="1" fillId="2" borderId="9" xfId="0" applyFont="1" applyFill="1" applyBorder="1"/>
    <xf numFmtId="49" fontId="1" fillId="2" borderId="9" xfId="0" applyNumberFormat="1" applyFont="1" applyFill="1" applyBorder="1"/>
    <xf numFmtId="0" fontId="1" fillId="0" borderId="10" xfId="0" applyFont="1" applyBorder="1"/>
    <xf numFmtId="0" fontId="0" fillId="0" borderId="11" xfId="0" applyBorder="1"/>
    <xf numFmtId="49" fontId="0" fillId="0" borderId="11" xfId="0" applyNumberFormat="1" applyBorder="1"/>
    <xf numFmtId="0" fontId="0" fillId="0" borderId="12" xfId="0" applyBorder="1"/>
    <xf numFmtId="0" fontId="0" fillId="0" borderId="13" xfId="0" applyBorder="1"/>
    <xf numFmtId="0" fontId="1" fillId="0" borderId="14" xfId="0" applyFont="1" applyBorder="1"/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49" fontId="0" fillId="0" borderId="17" xfId="0" applyNumberFormat="1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49" fontId="0" fillId="0" borderId="15" xfId="0" applyNumberFormat="1" applyBorder="1"/>
    <xf numFmtId="0" fontId="1" fillId="0" borderId="7" xfId="0" applyFont="1" applyBorder="1"/>
    <xf numFmtId="0" fontId="1" fillId="0" borderId="22" xfId="0" applyFont="1" applyBorder="1"/>
    <xf numFmtId="0" fontId="0" fillId="0" borderId="23" xfId="0" applyBorder="1"/>
    <xf numFmtId="0" fontId="0" fillId="0" borderId="24" xfId="0" applyBorder="1"/>
    <xf numFmtId="0" fontId="1" fillId="0" borderId="25" xfId="0" applyFont="1" applyBorder="1"/>
    <xf numFmtId="0" fontId="0" fillId="0" borderId="26" xfId="0" applyBorder="1"/>
    <xf numFmtId="0" fontId="0" fillId="0" borderId="9" xfId="0" applyBorder="1"/>
    <xf numFmtId="0" fontId="0" fillId="0" borderId="27" xfId="0" applyBorder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75154-37C5-4E01-94B7-8DDFF36C29F1}">
  <dimension ref="A1:N30"/>
  <sheetViews>
    <sheetView tabSelected="1" topLeftCell="F1" workbookViewId="0">
      <selection activeCell="B17" sqref="B17"/>
    </sheetView>
  </sheetViews>
  <sheetFormatPr baseColWidth="10" defaultRowHeight="14.5" x14ac:dyDescent="0.35"/>
  <cols>
    <col min="1" max="1" width="14.6328125" customWidth="1"/>
    <col min="2" max="2" width="21.08984375" customWidth="1"/>
    <col min="3" max="3" width="40" customWidth="1"/>
    <col min="5" max="5" width="15.81640625" customWidth="1"/>
    <col min="7" max="7" width="11.1796875" customWidth="1"/>
    <col min="8" max="8" width="14.81640625" customWidth="1"/>
    <col min="9" max="9" width="24.1796875" customWidth="1"/>
    <col min="10" max="10" width="21.1796875" customWidth="1"/>
    <col min="11" max="11" width="24.36328125" customWidth="1"/>
    <col min="12" max="12" width="22.6328125" customWidth="1"/>
    <col min="13" max="13" width="12.90625" customWidth="1"/>
    <col min="14" max="14" width="35.81640625" customWidth="1"/>
  </cols>
  <sheetData>
    <row r="1" spans="1:14" ht="15" thickBot="1" x14ac:dyDescent="0.4">
      <c r="A1" s="1" t="s">
        <v>101</v>
      </c>
      <c r="B1" s="2" t="s">
        <v>0</v>
      </c>
      <c r="C1" s="11" t="s">
        <v>1</v>
      </c>
      <c r="D1" s="2" t="s">
        <v>2</v>
      </c>
      <c r="E1" s="11" t="s">
        <v>3</v>
      </c>
      <c r="F1" s="12" t="s">
        <v>4</v>
      </c>
      <c r="G1" s="12" t="s">
        <v>64</v>
      </c>
      <c r="H1" s="12" t="s">
        <v>65</v>
      </c>
      <c r="I1" s="12" t="s">
        <v>66</v>
      </c>
      <c r="J1" s="12" t="s">
        <v>67</v>
      </c>
      <c r="K1" s="12" t="s">
        <v>68</v>
      </c>
      <c r="L1" s="12" t="s">
        <v>69</v>
      </c>
      <c r="M1" s="12" t="s">
        <v>87</v>
      </c>
      <c r="N1" s="12" t="s">
        <v>90</v>
      </c>
    </row>
    <row r="2" spans="1:14" x14ac:dyDescent="0.35">
      <c r="A2" s="3" t="s">
        <v>5</v>
      </c>
      <c r="B2" s="25" t="s">
        <v>6</v>
      </c>
      <c r="C2" s="14" t="s">
        <v>7</v>
      </c>
      <c r="D2" s="14" t="s">
        <v>8</v>
      </c>
      <c r="E2" s="14" t="s">
        <v>9</v>
      </c>
      <c r="F2" s="15" t="s">
        <v>10</v>
      </c>
      <c r="G2" s="14">
        <v>0.51160000000000005</v>
      </c>
      <c r="H2" s="14">
        <v>66</v>
      </c>
      <c r="I2" s="14">
        <v>4.6309000000000003E-2</v>
      </c>
      <c r="J2" s="14">
        <v>2.3692999999999999E-2</v>
      </c>
      <c r="K2" s="14">
        <v>2.8261999999999999E-2</v>
      </c>
      <c r="L2" s="14">
        <v>4.6099999999999998E-4</v>
      </c>
      <c r="M2" s="14" t="s">
        <v>92</v>
      </c>
      <c r="N2" s="16" t="s">
        <v>91</v>
      </c>
    </row>
    <row r="3" spans="1:14" x14ac:dyDescent="0.35">
      <c r="A3" s="4"/>
      <c r="B3" s="10" t="s">
        <v>11</v>
      </c>
      <c r="C3" s="7" t="s">
        <v>12</v>
      </c>
      <c r="D3" s="7" t="s">
        <v>82</v>
      </c>
      <c r="E3" s="7"/>
      <c r="F3" s="9" t="s">
        <v>81</v>
      </c>
      <c r="G3" s="7">
        <v>0.7984</v>
      </c>
      <c r="H3" s="7">
        <v>103</v>
      </c>
      <c r="I3" s="7">
        <v>9.5134999999999997E-2</v>
      </c>
      <c r="J3" s="7">
        <v>7.5961000000000001E-2</v>
      </c>
      <c r="K3" s="7">
        <v>4.8756000000000001E-2</v>
      </c>
      <c r="L3" s="7">
        <v>2.3636000000000001E-2</v>
      </c>
      <c r="M3" s="7" t="s">
        <v>93</v>
      </c>
      <c r="N3" s="17"/>
    </row>
    <row r="4" spans="1:14" ht="15" thickBot="1" x14ac:dyDescent="0.4">
      <c r="A4" s="5"/>
      <c r="B4" s="10" t="s">
        <v>13</v>
      </c>
      <c r="C4" s="7" t="s">
        <v>14</v>
      </c>
      <c r="D4" s="34" t="s">
        <v>83</v>
      </c>
      <c r="E4" s="34"/>
      <c r="F4" s="34" t="s">
        <v>84</v>
      </c>
      <c r="G4" s="34">
        <v>0.4884</v>
      </c>
      <c r="H4" s="34">
        <v>63</v>
      </c>
      <c r="I4" s="34">
        <v>3.1729E-2</v>
      </c>
      <c r="J4" s="34">
        <v>1.5495E-2</v>
      </c>
      <c r="K4" s="34">
        <v>8.3099999999999997E-3</v>
      </c>
      <c r="L4" s="34">
        <v>0</v>
      </c>
      <c r="M4" s="34" t="s">
        <v>94</v>
      </c>
      <c r="N4" s="35"/>
    </row>
    <row r="5" spans="1:14" ht="15" thickBot="1" x14ac:dyDescent="0.4">
      <c r="A5" s="32"/>
      <c r="B5" s="22" t="s">
        <v>59</v>
      </c>
      <c r="C5" s="33" t="s">
        <v>60</v>
      </c>
      <c r="D5" s="22" t="s">
        <v>61</v>
      </c>
      <c r="E5" s="21"/>
      <c r="F5" s="23" t="s">
        <v>62</v>
      </c>
      <c r="G5" s="21">
        <v>0.1085</v>
      </c>
      <c r="H5" s="21">
        <v>14</v>
      </c>
      <c r="I5" s="21">
        <v>1.0430000000000001E-3</v>
      </c>
      <c r="J5" s="21">
        <v>1.13E-4</v>
      </c>
      <c r="K5" s="21">
        <v>4.7699999999999999E-4</v>
      </c>
      <c r="L5" s="21">
        <v>0</v>
      </c>
      <c r="M5" s="21"/>
      <c r="N5" s="24" t="s">
        <v>100</v>
      </c>
    </row>
    <row r="6" spans="1:14" ht="15" thickBot="1" x14ac:dyDescent="0.4">
      <c r="A6" s="28" t="s">
        <v>15</v>
      </c>
      <c r="B6" s="22" t="s">
        <v>16</v>
      </c>
      <c r="C6" s="21" t="s">
        <v>17</v>
      </c>
      <c r="D6" s="22" t="s">
        <v>18</v>
      </c>
      <c r="E6" s="21"/>
      <c r="F6" s="23" t="s">
        <v>19</v>
      </c>
      <c r="G6" s="21">
        <v>0.1163</v>
      </c>
      <c r="H6" s="21">
        <v>15</v>
      </c>
      <c r="I6" s="21">
        <v>3.8430000000000001E-3</v>
      </c>
      <c r="J6" s="21">
        <v>4.4700000000000002E-4</v>
      </c>
      <c r="K6" s="21">
        <v>4.2299999999999998E-4</v>
      </c>
      <c r="L6" s="21">
        <v>0</v>
      </c>
      <c r="M6" s="21"/>
      <c r="N6" s="24" t="s">
        <v>98</v>
      </c>
    </row>
    <row r="7" spans="1:14" x14ac:dyDescent="0.35">
      <c r="A7" s="3" t="s">
        <v>20</v>
      </c>
      <c r="B7" s="25" t="s">
        <v>20</v>
      </c>
      <c r="C7" s="14" t="s">
        <v>21</v>
      </c>
      <c r="D7" s="25" t="s">
        <v>22</v>
      </c>
      <c r="E7" s="14" t="s">
        <v>23</v>
      </c>
      <c r="F7" s="15" t="s">
        <v>24</v>
      </c>
      <c r="G7" s="14">
        <v>0.13950000000000001</v>
      </c>
      <c r="H7" s="14">
        <v>18</v>
      </c>
      <c r="I7" s="14">
        <v>1.786E-3</v>
      </c>
      <c r="J7" s="14">
        <v>2.4899999999999998E-4</v>
      </c>
      <c r="K7" s="14">
        <v>4.7600000000000002E-4</v>
      </c>
      <c r="L7" s="14">
        <v>0</v>
      </c>
      <c r="M7" s="14" t="s">
        <v>95</v>
      </c>
      <c r="N7" s="16" t="s">
        <v>104</v>
      </c>
    </row>
    <row r="8" spans="1:14" ht="15" thickBot="1" x14ac:dyDescent="0.4">
      <c r="A8" s="5"/>
      <c r="B8" s="26"/>
      <c r="C8" s="19" t="s">
        <v>25</v>
      </c>
      <c r="D8" s="7" t="s">
        <v>86</v>
      </c>
      <c r="E8" s="19"/>
      <c r="F8" s="19" t="s">
        <v>85</v>
      </c>
      <c r="G8" s="19">
        <v>0.1008</v>
      </c>
      <c r="H8" s="19">
        <v>13</v>
      </c>
      <c r="I8" s="19">
        <v>1.8079999999999999E-3</v>
      </c>
      <c r="J8" s="19">
        <v>1.8200000000000001E-4</v>
      </c>
      <c r="K8" s="19">
        <v>2.72E-4</v>
      </c>
      <c r="L8" s="19">
        <v>0</v>
      </c>
      <c r="M8" s="19"/>
      <c r="N8" s="20"/>
    </row>
    <row r="9" spans="1:14" x14ac:dyDescent="0.35">
      <c r="A9" s="3" t="s">
        <v>26</v>
      </c>
      <c r="B9" s="25" t="s">
        <v>27</v>
      </c>
      <c r="C9" s="14" t="s">
        <v>28</v>
      </c>
      <c r="D9" s="25" t="s">
        <v>29</v>
      </c>
      <c r="E9" s="14" t="s">
        <v>30</v>
      </c>
      <c r="F9" s="15" t="s">
        <v>31</v>
      </c>
      <c r="G9" s="14">
        <v>0.8992</v>
      </c>
      <c r="H9" s="14">
        <v>116</v>
      </c>
      <c r="I9" s="14">
        <v>8.8893E-2</v>
      </c>
      <c r="J9" s="14">
        <v>7.9935000000000006E-2</v>
      </c>
      <c r="K9" s="14">
        <v>7.1952000000000002E-2</v>
      </c>
      <c r="L9" s="14">
        <v>5.0729000000000003E-2</v>
      </c>
      <c r="M9" s="14" t="s">
        <v>88</v>
      </c>
      <c r="N9" s="16" t="s">
        <v>99</v>
      </c>
    </row>
    <row r="10" spans="1:14" x14ac:dyDescent="0.35">
      <c r="A10" s="4"/>
      <c r="B10" s="10" t="s">
        <v>32</v>
      </c>
      <c r="C10" s="7" t="s">
        <v>33</v>
      </c>
      <c r="D10" s="10" t="s">
        <v>34</v>
      </c>
      <c r="E10" s="7" t="s">
        <v>35</v>
      </c>
      <c r="F10" s="8" t="s">
        <v>36</v>
      </c>
      <c r="G10" s="7">
        <v>0.17050000000000001</v>
      </c>
      <c r="H10" s="7">
        <v>22</v>
      </c>
      <c r="I10" s="7">
        <v>1.1864E-2</v>
      </c>
      <c r="J10" s="7">
        <v>2.0230000000000001E-3</v>
      </c>
      <c r="K10" s="7">
        <v>1.521E-3</v>
      </c>
      <c r="L10" s="7">
        <v>0</v>
      </c>
      <c r="M10" s="7" t="s">
        <v>89</v>
      </c>
      <c r="N10" s="17"/>
    </row>
    <row r="11" spans="1:14" ht="15" thickBot="1" x14ac:dyDescent="0.4">
      <c r="A11" s="5"/>
      <c r="B11" s="26" t="s">
        <v>37</v>
      </c>
      <c r="C11" s="19" t="s">
        <v>38</v>
      </c>
      <c r="D11" s="26" t="s">
        <v>39</v>
      </c>
      <c r="E11" s="19" t="s">
        <v>40</v>
      </c>
      <c r="F11" s="27" t="s">
        <v>41</v>
      </c>
      <c r="G11" s="19">
        <v>0.17829999999999999</v>
      </c>
      <c r="H11" s="19">
        <v>23</v>
      </c>
      <c r="I11" s="19">
        <v>2.183E-3</v>
      </c>
      <c r="J11" s="19">
        <v>3.8900000000000002E-4</v>
      </c>
      <c r="K11" s="19">
        <v>1.0369999999999999E-3</v>
      </c>
      <c r="L11" s="19">
        <v>0</v>
      </c>
      <c r="M11" s="19"/>
      <c r="N11" s="20"/>
    </row>
    <row r="12" spans="1:14" x14ac:dyDescent="0.35">
      <c r="A12" s="3" t="s">
        <v>42</v>
      </c>
      <c r="B12" s="25" t="s">
        <v>43</v>
      </c>
      <c r="C12" s="14" t="s">
        <v>44</v>
      </c>
      <c r="D12" s="25" t="s">
        <v>45</v>
      </c>
      <c r="E12" s="14" t="s">
        <v>46</v>
      </c>
      <c r="F12" s="15" t="s">
        <v>47</v>
      </c>
      <c r="G12" s="14">
        <v>0.1163</v>
      </c>
      <c r="H12" s="14">
        <v>15</v>
      </c>
      <c r="I12" s="14">
        <v>5.8190000000000004E-3</v>
      </c>
      <c r="J12" s="14">
        <v>6.7699999999999998E-4</v>
      </c>
      <c r="K12" s="14">
        <v>2.5999999999999999E-3</v>
      </c>
      <c r="L12" s="14">
        <v>0</v>
      </c>
      <c r="M12" s="14" t="s">
        <v>96</v>
      </c>
      <c r="N12" s="16" t="s">
        <v>104</v>
      </c>
    </row>
    <row r="13" spans="1:14" ht="15" thickBot="1" x14ac:dyDescent="0.4">
      <c r="A13" s="6"/>
      <c r="B13" s="26" t="s">
        <v>48</v>
      </c>
      <c r="C13" s="19" t="s">
        <v>49</v>
      </c>
      <c r="D13" s="26" t="s">
        <v>50</v>
      </c>
      <c r="E13" s="19" t="s">
        <v>51</v>
      </c>
      <c r="F13" s="27" t="s">
        <v>52</v>
      </c>
      <c r="G13" s="19">
        <v>0.25580000000000003</v>
      </c>
      <c r="H13" s="19">
        <v>33</v>
      </c>
      <c r="I13" s="19">
        <v>4.0827000000000002E-2</v>
      </c>
      <c r="J13" s="19">
        <v>1.0444E-2</v>
      </c>
      <c r="K13" s="19">
        <v>5.8820000000000001E-3</v>
      </c>
      <c r="L13" s="19">
        <v>0</v>
      </c>
      <c r="M13" s="19"/>
      <c r="N13" s="20"/>
    </row>
    <row r="14" spans="1:14" x14ac:dyDescent="0.35">
      <c r="A14" s="3" t="s">
        <v>53</v>
      </c>
      <c r="B14" s="25" t="s">
        <v>54</v>
      </c>
      <c r="C14" s="14" t="s">
        <v>55</v>
      </c>
      <c r="D14" s="25" t="s">
        <v>56</v>
      </c>
      <c r="E14" s="14" t="s">
        <v>57</v>
      </c>
      <c r="F14" s="14" t="s">
        <v>58</v>
      </c>
      <c r="G14" s="14">
        <v>0.78290000000000004</v>
      </c>
      <c r="H14" s="14">
        <v>101</v>
      </c>
      <c r="I14" s="14">
        <v>2.3316E-2</v>
      </c>
      <c r="J14" s="14">
        <v>1.8255E-2</v>
      </c>
      <c r="K14" s="14">
        <v>1.205E-2</v>
      </c>
      <c r="L14" s="14">
        <v>7.5989999999999999E-3</v>
      </c>
      <c r="M14" s="14" t="s">
        <v>97</v>
      </c>
      <c r="N14" s="16" t="s">
        <v>99</v>
      </c>
    </row>
    <row r="18" spans="1:14" ht="15" thickBot="1" x14ac:dyDescent="0.4"/>
    <row r="19" spans="1:14" ht="15" thickBot="1" x14ac:dyDescent="0.4">
      <c r="A19" s="1" t="s">
        <v>63</v>
      </c>
      <c r="B19" s="21"/>
      <c r="C19" s="21"/>
      <c r="D19" s="21"/>
      <c r="E19" s="21"/>
      <c r="F19" s="21"/>
      <c r="G19" s="21"/>
      <c r="H19" s="21"/>
      <c r="I19" s="21"/>
      <c r="J19" s="21"/>
      <c r="K19" s="21"/>
      <c r="L19" s="21"/>
      <c r="M19" s="21"/>
      <c r="N19" s="24"/>
    </row>
    <row r="20" spans="1:14" ht="15" thickBot="1" x14ac:dyDescent="0.4">
      <c r="A20" s="13" t="s">
        <v>53</v>
      </c>
      <c r="B20" s="14" t="s">
        <v>78</v>
      </c>
      <c r="C20" s="14" t="s">
        <v>71</v>
      </c>
      <c r="D20" s="14"/>
      <c r="E20" s="14"/>
      <c r="F20" s="14" t="s">
        <v>70</v>
      </c>
      <c r="G20" s="14">
        <v>3.8800000000000001E-2</v>
      </c>
      <c r="H20" s="14">
        <v>5</v>
      </c>
      <c r="I20" s="14">
        <v>1.402E-3</v>
      </c>
      <c r="J20" s="14">
        <v>5.3999999999999998E-5</v>
      </c>
      <c r="K20" s="14">
        <v>7.7999999999999999E-5</v>
      </c>
      <c r="L20" s="14">
        <v>0</v>
      </c>
      <c r="M20" s="14"/>
      <c r="N20" s="31" t="s">
        <v>98</v>
      </c>
    </row>
    <row r="21" spans="1:14" ht="15" thickBot="1" x14ac:dyDescent="0.4">
      <c r="A21" s="18"/>
      <c r="B21" s="19" t="s">
        <v>78</v>
      </c>
      <c r="C21" s="19" t="s">
        <v>77</v>
      </c>
      <c r="D21" s="19"/>
      <c r="E21" s="19"/>
      <c r="F21" s="19" t="s">
        <v>76</v>
      </c>
      <c r="G21" s="19">
        <v>7.7999999999999996E-3</v>
      </c>
      <c r="H21" s="19">
        <v>1</v>
      </c>
      <c r="I21" s="19">
        <v>9.4509999999999993E-3</v>
      </c>
      <c r="J21" s="19">
        <v>7.2999999999999999E-5</v>
      </c>
      <c r="K21" s="19">
        <v>9.4509999999999993E-3</v>
      </c>
      <c r="L21" s="19">
        <v>0</v>
      </c>
      <c r="M21" s="19"/>
      <c r="N21" s="20"/>
    </row>
    <row r="22" spans="1:14" x14ac:dyDescent="0.35">
      <c r="A22" s="13" t="s">
        <v>79</v>
      </c>
      <c r="B22" s="14" t="s">
        <v>26</v>
      </c>
      <c r="C22" s="14" t="s">
        <v>73</v>
      </c>
      <c r="D22" s="14"/>
      <c r="E22" s="14"/>
      <c r="F22" s="14" t="s">
        <v>72</v>
      </c>
      <c r="G22" s="14">
        <v>3.1E-2</v>
      </c>
      <c r="H22" s="14">
        <v>4</v>
      </c>
      <c r="I22" s="14">
        <v>1.1429999999999999E-3</v>
      </c>
      <c r="J22" s="14">
        <v>3.4999999999999997E-5</v>
      </c>
      <c r="K22" s="14">
        <v>4.86E-4</v>
      </c>
      <c r="L22" s="14">
        <v>0</v>
      </c>
      <c r="M22" s="14" t="s">
        <v>103</v>
      </c>
      <c r="N22" s="16" t="s">
        <v>102</v>
      </c>
    </row>
    <row r="23" spans="1:14" ht="15" thickBot="1" x14ac:dyDescent="0.4">
      <c r="A23" s="18"/>
      <c r="B23" s="19" t="s">
        <v>107</v>
      </c>
      <c r="C23" s="19" t="s">
        <v>106</v>
      </c>
      <c r="D23" s="19"/>
      <c r="E23" s="19"/>
      <c r="F23" s="19" t="s">
        <v>108</v>
      </c>
      <c r="G23" s="19">
        <v>0.21709999999999999</v>
      </c>
      <c r="H23" s="19">
        <v>28</v>
      </c>
      <c r="I23" s="19">
        <v>2.6714000000000002E-2</v>
      </c>
      <c r="J23" s="19">
        <v>5.7980000000000002E-3</v>
      </c>
      <c r="K23" s="19">
        <v>3.9459999999999999E-3</v>
      </c>
      <c r="L23" s="19">
        <v>0</v>
      </c>
      <c r="M23" s="19" t="s">
        <v>110</v>
      </c>
      <c r="N23" s="20" t="s">
        <v>109</v>
      </c>
    </row>
    <row r="24" spans="1:14" ht="15" thickBot="1" x14ac:dyDescent="0.4">
      <c r="A24" s="29" t="s">
        <v>5</v>
      </c>
      <c r="B24" s="30" t="s">
        <v>80</v>
      </c>
      <c r="C24" s="30" t="s">
        <v>75</v>
      </c>
      <c r="D24" s="30"/>
      <c r="E24" s="30"/>
      <c r="F24" s="30" t="s">
        <v>74</v>
      </c>
      <c r="G24" s="30">
        <v>7.7999999999999996E-3</v>
      </c>
      <c r="H24" s="30">
        <v>1</v>
      </c>
      <c r="I24" s="30">
        <v>7.9999999999999996E-6</v>
      </c>
      <c r="J24" s="30">
        <v>0</v>
      </c>
      <c r="K24" s="30">
        <v>7.9999999999999996E-6</v>
      </c>
      <c r="L24" s="30">
        <v>0</v>
      </c>
      <c r="M24" s="30" t="s">
        <v>105</v>
      </c>
      <c r="N24" s="31" t="s">
        <v>98</v>
      </c>
    </row>
    <row r="30" spans="1:14" x14ac:dyDescent="0.35">
      <c r="E30">
        <f>7*4</f>
        <v>28</v>
      </c>
    </row>
  </sheetData>
  <pageMargins left="0.7" right="0.7" top="0.78740157499999996" bottom="0.78740157499999996" header="0.3" footer="0.3"/>
</worksheet>
</file>

<file path=docMetadata/LabelInfo.xml><?xml version="1.0" encoding="utf-8"?>
<clbl:labelList xmlns:clbl="http://schemas.microsoft.com/office/2020/mipLabelMetadata">
  <clbl:label id="{c3d0f882-8463-4fc8-8c93-fe9e190ec3f5}" enabled="1" method="Standard" siteId="{7c07b8b6-a28d-424b-8eb6-3de456e898e1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JANK Melanie</dc:creator>
  <cp:lastModifiedBy>JANK Melanie</cp:lastModifiedBy>
  <dcterms:created xsi:type="dcterms:W3CDTF">2026-06-05T09:26:10Z</dcterms:created>
  <dcterms:modified xsi:type="dcterms:W3CDTF">2026-06-23T07:55:56Z</dcterms:modified>
</cp:coreProperties>
</file>