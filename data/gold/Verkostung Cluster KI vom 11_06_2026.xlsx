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11_06_2026_Tasty\"/>
    </mc:Choice>
  </mc:AlternateContent>
  <xr:revisionPtr revIDLastSave="0" documentId="13_ncr:1_{D8CDD3D5-B1E4-47DF-BAFF-D697F0CC2186}" xr6:coauthVersionLast="47" xr6:coauthVersionMax="47" xr10:uidLastSave="{00000000-0000-0000-0000-000000000000}"/>
  <bookViews>
    <workbookView xWindow="-110" yWindow="-110" windowWidth="19420" windowHeight="11500" activeTab="3" xr2:uid="{B8A40B84-3D84-4183-9EB5-2DE685087666}"/>
  </bookViews>
  <sheets>
    <sheet name="Übersicht" sheetId="1" r:id="rId1"/>
    <sheet name="Vorlage" sheetId="2" r:id="rId2"/>
    <sheet name="Auswertung" sheetId="3" r:id="rId3"/>
    <sheet name="Ergebnis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I10" i="4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I22" i="4" s="1"/>
  <c r="H22" i="4"/>
  <c r="H23" i="4"/>
  <c r="H24" i="4"/>
  <c r="H25" i="4"/>
  <c r="H26" i="4"/>
  <c r="H27" i="4"/>
  <c r="I30" i="4" s="1"/>
  <c r="H28" i="4"/>
  <c r="H29" i="4"/>
  <c r="H30" i="4"/>
  <c r="H3" i="4"/>
  <c r="I26" i="4"/>
  <c r="I18" i="4"/>
  <c r="I14" i="4"/>
  <c r="X31" i="3"/>
  <c r="X27" i="3"/>
  <c r="X23" i="3"/>
  <c r="X19" i="3"/>
  <c r="X15" i="3"/>
  <c r="X11" i="3"/>
  <c r="X7" i="3"/>
  <c r="W32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4" i="3"/>
  <c r="H31" i="4" l="1"/>
  <c r="I6" i="4"/>
</calcChain>
</file>

<file path=xl/sharedStrings.xml><?xml version="1.0" encoding="utf-8"?>
<sst xmlns="http://schemas.openxmlformats.org/spreadsheetml/2006/main" count="874" uniqueCount="226">
  <si>
    <t>Ursprungs-Rez.</t>
  </si>
  <si>
    <t>SAP Nr.</t>
  </si>
  <si>
    <t>Status</t>
  </si>
  <si>
    <t>Dosage</t>
  </si>
  <si>
    <t>Note allg</t>
  </si>
  <si>
    <t>Key-Words Übersicht fertige Aromen</t>
  </si>
  <si>
    <t>Cluster vorgegeben</t>
  </si>
  <si>
    <t>Jan Free Sorting</t>
  </si>
  <si>
    <t>Verkostung Notizen</t>
  </si>
  <si>
    <t>N</t>
  </si>
  <si>
    <t>1,000</t>
  </si>
  <si>
    <t>3</t>
  </si>
  <si>
    <t>Karamell</t>
  </si>
  <si>
    <t>warm</t>
  </si>
  <si>
    <t>187.567</t>
  </si>
  <si>
    <t>29201640</t>
  </si>
  <si>
    <t>A</t>
  </si>
  <si>
    <t>0,200</t>
  </si>
  <si>
    <t>2</t>
  </si>
  <si>
    <t>Marmelade, reif, bonbonartig, Karamell</t>
  </si>
  <si>
    <t>warm (oberer Bereich)</t>
  </si>
  <si>
    <t>185.086</t>
  </si>
  <si>
    <t>0,300</t>
  </si>
  <si>
    <t>sahnig, bonbonartig, Karamell, fruchtig</t>
  </si>
  <si>
    <t>unpleasant</t>
  </si>
  <si>
    <t>warm (unterer Bereich)</t>
  </si>
  <si>
    <t>unpleasant (unterer Bereich)</t>
  </si>
  <si>
    <t>187.920</t>
  </si>
  <si>
    <t>29202007</t>
  </si>
  <si>
    <t>blumig, grün, fruchtig, frisch</t>
  </si>
  <si>
    <t>grün - reif/ muffig</t>
  </si>
  <si>
    <t>warm (mittig)</t>
  </si>
  <si>
    <t>187.894</t>
  </si>
  <si>
    <t>29201969</t>
  </si>
  <si>
    <t>0,250</t>
  </si>
  <si>
    <t>blumig, reif, fruchtig, bonbonartig</t>
  </si>
  <si>
    <t>Walderdbeere</t>
  </si>
  <si>
    <t>188.976</t>
  </si>
  <si>
    <t>29203128</t>
  </si>
  <si>
    <t>0,500</t>
  </si>
  <si>
    <t>fruchtig, bonbonartig, Marmelade, sahnig</t>
  </si>
  <si>
    <t>nicht verkostet</t>
  </si>
  <si>
    <t>186.179</t>
  </si>
  <si>
    <t>29200639</t>
  </si>
  <si>
    <t>0,400</t>
  </si>
  <si>
    <t>bonbonartig, Karamell, süß, fruchtig</t>
  </si>
  <si>
    <t>29200308</t>
  </si>
  <si>
    <t>bonbonartig, Karamell, grün, fruchtig</t>
  </si>
  <si>
    <t>186.396</t>
  </si>
  <si>
    <t>blumig</t>
  </si>
  <si>
    <t>187.796P</t>
  </si>
  <si>
    <t>29201891</t>
  </si>
  <si>
    <t>0,150</t>
  </si>
  <si>
    <t>fruchtig, saftig, grün, reif</t>
  </si>
  <si>
    <t>floral</t>
  </si>
  <si>
    <t>Heidelbeere/ Jasmin</t>
  </si>
  <si>
    <t>grün</t>
  </si>
  <si>
    <t>189.014</t>
  </si>
  <si>
    <t>floral (mittig)</t>
  </si>
  <si>
    <t>floral (ganz unten)</t>
  </si>
  <si>
    <t>186.981P</t>
  </si>
  <si>
    <t>29201088</t>
  </si>
  <si>
    <t>frisch, saftig, fruchtig, sahnig</t>
  </si>
  <si>
    <t>29203164</t>
  </si>
  <si>
    <t>fruchtig, grün, Marmelade, reif</t>
  </si>
  <si>
    <t>185.046</t>
  </si>
  <si>
    <t/>
  </si>
  <si>
    <t>0,600</t>
  </si>
  <si>
    <t>1</t>
  </si>
  <si>
    <t>reif, fruchtig, saftig</t>
  </si>
  <si>
    <t>floral (ganz oben)</t>
  </si>
  <si>
    <t>buttrig - grün</t>
  </si>
  <si>
    <t>188.412P</t>
  </si>
  <si>
    <t>29202513</t>
  </si>
  <si>
    <t>fruchtig, blumig, bonbonartig, grün</t>
  </si>
  <si>
    <t>green</t>
  </si>
  <si>
    <t>187.519</t>
  </si>
  <si>
    <t>green (mittig)</t>
  </si>
  <si>
    <t>green (etwas oberhalb)</t>
  </si>
  <si>
    <t>29201587</t>
  </si>
  <si>
    <t>fruchtig, grün, reif, Marmelade</t>
  </si>
  <si>
    <t>185.902</t>
  </si>
  <si>
    <t>fruchtig, süß, saftig, Marmelade</t>
  </si>
  <si>
    <t>186.569</t>
  </si>
  <si>
    <t>fruchtig, Karamell, Bier, blumig</t>
  </si>
  <si>
    <t>185.294</t>
  </si>
  <si>
    <t>dairy</t>
  </si>
  <si>
    <t>buttrig</t>
  </si>
  <si>
    <t>muffig/ buttrig</t>
  </si>
  <si>
    <t>29200034</t>
  </si>
  <si>
    <t>0,800</t>
  </si>
  <si>
    <t>bonbonartig, sahnig, fruchtig, reif</t>
  </si>
  <si>
    <t>188.977</t>
  </si>
  <si>
    <t>29203123</t>
  </si>
  <si>
    <t>fruchtig, bonbonartig, Marmelade, Karamell</t>
  </si>
  <si>
    <t>187.167P</t>
  </si>
  <si>
    <t>29201122</t>
  </si>
  <si>
    <t>0,050</t>
  </si>
  <si>
    <t>bonbonartig, Karamell, sahnig, grün</t>
  </si>
  <si>
    <t>187.826P</t>
  </si>
  <si>
    <t>29201902</t>
  </si>
  <si>
    <t>NX</t>
  </si>
  <si>
    <t>1,200</t>
  </si>
  <si>
    <t>Marmelade, Karamell, buttrig, sahnig</t>
  </si>
  <si>
    <t>185.267</t>
  </si>
  <si>
    <t>Regel</t>
  </si>
  <si>
    <t>29200047</t>
  </si>
  <si>
    <t>überreif, süß, bonbonartig</t>
  </si>
  <si>
    <t>muffig</t>
  </si>
  <si>
    <t>187.246P</t>
  </si>
  <si>
    <t>29201214</t>
  </si>
  <si>
    <t>fruchtig, grün, frisch, reif</t>
  </si>
  <si>
    <t>187.829P</t>
  </si>
  <si>
    <t>29201899</t>
  </si>
  <si>
    <t>grün, saftig, blumig, fruchtig</t>
  </si>
  <si>
    <t>reif/muffig</t>
  </si>
  <si>
    <t>188.560P</t>
  </si>
  <si>
    <t>29202682</t>
  </si>
  <si>
    <t>fruchtig, bonbonartig, frisch, saftig</t>
  </si>
  <si>
    <t>keine eindeutige Regel gefunden</t>
  </si>
  <si>
    <t>185.028</t>
  </si>
  <si>
    <t>4</t>
  </si>
  <si>
    <t>Birne/ Marille (Outlayer)</t>
  </si>
  <si>
    <t>fruity</t>
  </si>
  <si>
    <t>Black List: Ethyl-trans,cis-2,4-decadienoat, natürlich Halal &gt; 0,004 eindeutig</t>
  </si>
  <si>
    <t>187.004P</t>
  </si>
  <si>
    <t>29200944</t>
  </si>
  <si>
    <t>würzig, blumig, holzig</t>
  </si>
  <si>
    <t>185.513P</t>
  </si>
  <si>
    <t>29200145</t>
  </si>
  <si>
    <t>süß, fruchtig, saftig, bonbonartig</t>
  </si>
  <si>
    <t>reif/ muffig</t>
  </si>
  <si>
    <t>188.639P</t>
  </si>
  <si>
    <t>29202763</t>
  </si>
  <si>
    <t xml:space="preserve">0,2_x000D_
</t>
  </si>
  <si>
    <t>fruchtig, überreif, bonbonartig, Mango</t>
  </si>
  <si>
    <t>alle drei Rohstoffe müssen vorhanden sein: maltol, Furaneol,Vanillin</t>
  </si>
  <si>
    <t>beide Rohstoffe müssen vorhanden sein: Methylanthranilat, Dimethylanthranilat</t>
  </si>
  <si>
    <t>wenn Rohstoff vorhanden: Jasmin-Absolue</t>
  </si>
  <si>
    <t>keine eindeutige Regel gefunden/ Centroid Nähe</t>
  </si>
  <si>
    <t>Fred M2 Rule Based</t>
  </si>
  <si>
    <t>Fred M1 Label Propagation</t>
  </si>
  <si>
    <t>Ist das Aroma richtig in dem Cluster?</t>
  </si>
  <si>
    <t>Wenn nein, zu welchem Cluster gehört es?</t>
  </si>
  <si>
    <t>JA</t>
  </si>
  <si>
    <t>NEIN</t>
  </si>
  <si>
    <t>M1 Label Propagation</t>
  </si>
  <si>
    <t>M2 Rule Based</t>
  </si>
  <si>
    <t>Clustering Fred</t>
  </si>
  <si>
    <t>185.237</t>
  </si>
  <si>
    <t>29200042</t>
  </si>
  <si>
    <t>Erdbeere, Karamell, grün, milchig</t>
  </si>
  <si>
    <t>185.507</t>
  </si>
  <si>
    <t>29201231</t>
  </si>
  <si>
    <t>süß, fruchtig, saftig, frisch</t>
  </si>
  <si>
    <t>RM</t>
  </si>
  <si>
    <t>185.044</t>
  </si>
  <si>
    <t>29200340</t>
  </si>
  <si>
    <t>-</t>
  </si>
  <si>
    <t>Erdbeere, Karamell, grün</t>
  </si>
  <si>
    <t xml:space="preserve">warm </t>
  </si>
  <si>
    <t xml:space="preserve">unpleasant </t>
  </si>
  <si>
    <t>187.521P</t>
  </si>
  <si>
    <t>29201585</t>
  </si>
  <si>
    <t>bonbonartig, fruchtig, Tutti-Frutti, blumig</t>
  </si>
  <si>
    <t>185.178</t>
  </si>
  <si>
    <t>29200208</t>
  </si>
  <si>
    <t>grün, fruchtig, bonbonartig, blumig</t>
  </si>
  <si>
    <t>187.521</t>
  </si>
  <si>
    <t>187.796</t>
  </si>
  <si>
    <t>186.981</t>
  </si>
  <si>
    <t>188.412</t>
  </si>
  <si>
    <t>187.167</t>
  </si>
  <si>
    <t>187.826</t>
  </si>
  <si>
    <t>187.246</t>
  </si>
  <si>
    <t>187.829</t>
  </si>
  <si>
    <t>188.560</t>
  </si>
  <si>
    <t>187.004</t>
  </si>
  <si>
    <t>185.513</t>
  </si>
  <si>
    <t>188.639</t>
  </si>
  <si>
    <t>Rezept Nr.</t>
  </si>
  <si>
    <t>Karamell Noten aber nicht sehr intensiv</t>
  </si>
  <si>
    <t>nicht wirklich karamellig</t>
  </si>
  <si>
    <t>candy</t>
  </si>
  <si>
    <t>sehr candy könnte aber auch Karamell sein</t>
  </si>
  <si>
    <t>sehr buttrig</t>
  </si>
  <si>
    <t>sehr blumig</t>
  </si>
  <si>
    <t>hat aber auch muffige Karamell Noten</t>
  </si>
  <si>
    <t>mehtyl-trans-cinnamat komische NOTE</t>
  </si>
  <si>
    <t>eher grün</t>
  </si>
  <si>
    <t>Mandarine</t>
  </si>
  <si>
    <t>FTNF schon buttrig aber FTNF</t>
  </si>
  <si>
    <t>Fenchel</t>
  </si>
  <si>
    <t>Outlayer</t>
  </si>
  <si>
    <t>Skatol</t>
  </si>
  <si>
    <t>Meli</t>
  </si>
  <si>
    <t>Lisa</t>
  </si>
  <si>
    <t>fruchtig</t>
  </si>
  <si>
    <t>bonbon</t>
  </si>
  <si>
    <t>Apfel</t>
  </si>
  <si>
    <t>Joghurt</t>
  </si>
  <si>
    <t>FTNF</t>
  </si>
  <si>
    <t>Sophie</t>
  </si>
  <si>
    <t>dairy, blumig</t>
  </si>
  <si>
    <t>Vanillin Gehalt gegen Null, Methylanthr. + Phenylacethaldehyd enthalten</t>
  </si>
  <si>
    <t>Vanillin 0,018 / Furaneol 15% 0,0755/ Maltol 0,0015</t>
  </si>
  <si>
    <t>Vanillin 0,0025 / Furaneol 15% 0,14 / Maltol 0,03</t>
  </si>
  <si>
    <t>Richtig im Cluster</t>
  </si>
  <si>
    <t>ja</t>
  </si>
  <si>
    <t>Nein</t>
  </si>
  <si>
    <t>Wald</t>
  </si>
  <si>
    <t>Jan</t>
  </si>
  <si>
    <t>warm, dairy</t>
  </si>
  <si>
    <t>grün, warm</t>
  </si>
  <si>
    <t>unpleasant, warm</t>
  </si>
  <si>
    <t>Karamell (warm)</t>
  </si>
  <si>
    <t>warm (Marmelade)</t>
  </si>
  <si>
    <t>fruity, green</t>
  </si>
  <si>
    <t>warm (wachsig)</t>
  </si>
  <si>
    <t>Auswertung Panel</t>
  </si>
  <si>
    <t>Positive Antworten</t>
  </si>
  <si>
    <t>Prozent %</t>
  </si>
  <si>
    <t>Clustering AJ</t>
  </si>
  <si>
    <t>Ergebnis</t>
  </si>
  <si>
    <t>Mittelwert</t>
  </si>
  <si>
    <t>Anzahl Panelisten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</si>
</sst>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0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3" fillId="6" borderId="1" xfId="0" applyNumberFormat="1" applyFont="1" applyFill="1" applyBorder="1" applyAlignment="1" applyProtection="1">
      <alignment horizontal="left"/>
      <protection locked="0"/>
    </xf>
    <xf numFmtId="0" fontId="0" fillId="7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9" borderId="1" xfId="0" applyFill="1" applyBorder="1"/>
    <xf numFmtId="49" fontId="4" fillId="3" borderId="1" xfId="0" applyNumberFormat="1" applyFont="1" applyFill="1" applyBorder="1" applyAlignment="1" applyProtection="1">
      <alignment horizontal="left"/>
      <protection locked="0"/>
    </xf>
    <xf numFmtId="49" fontId="4" fillId="0" borderId="1" xfId="0" applyNumberFormat="1" applyFont="1" applyBorder="1" applyAlignment="1" applyProtection="1">
      <alignment horizontal="left"/>
      <protection locked="0"/>
    </xf>
    <xf numFmtId="0" fontId="0" fillId="8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10" borderId="1" xfId="0" applyFill="1" applyBorder="1"/>
    <xf numFmtId="4" fontId="0" fillId="0" borderId="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1" xfId="0" applyFont="1" applyFill="1" applyBorder="1"/>
    <xf numFmtId="0" fontId="1" fillId="11" borderId="1" xfId="0" applyFont="1" applyFill="1" applyBorder="1"/>
    <xf numFmtId="0" fontId="2" fillId="12" borderId="1" xfId="0" applyFont="1" applyFill="1" applyBorder="1"/>
    <xf numFmtId="0" fontId="1" fillId="12" borderId="1" xfId="0" applyFont="1" applyFill="1" applyBorder="1"/>
    <xf numFmtId="0" fontId="0" fillId="12" borderId="0" xfId="0" applyFill="1"/>
    <xf numFmtId="0" fontId="5" fillId="1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1" fillId="6" borderId="1" xfId="0" applyFont="1" applyFill="1" applyBorder="1"/>
    <xf numFmtId="0" fontId="1" fillId="13" borderId="1" xfId="0" applyFont="1" applyFill="1" applyBorder="1"/>
    <xf numFmtId="0" fontId="8" fillId="14" borderId="1" xfId="0" applyFont="1" applyFill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1" xfId="0" applyNumberForma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5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1" fillId="11" borderId="4" xfId="0" applyFont="1" applyFill="1" applyBorder="1"/>
    <xf numFmtId="0" fontId="1" fillId="12" borderId="4" xfId="0" applyFont="1" applyFill="1" applyBorder="1"/>
    <xf numFmtId="0" fontId="0" fillId="0" borderId="4" xfId="0" applyBorder="1"/>
    <xf numFmtId="0" fontId="0" fillId="12" borderId="1" xfId="0" applyFill="1" applyBorder="1"/>
    <xf numFmtId="0" fontId="0" fillId="7" borderId="7" xfId="0" applyFill="1" applyBorder="1"/>
    <xf numFmtId="0" fontId="0" fillId="0" borderId="7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0" fillId="8" borderId="9" xfId="0" applyFill="1" applyBorder="1"/>
    <xf numFmtId="0" fontId="0" fillId="0" borderId="9" xfId="0" applyBorder="1"/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/>
    <xf numFmtId="0" fontId="0" fillId="7" borderId="11" xfId="0" applyFill="1" applyBorder="1"/>
    <xf numFmtId="0" fontId="0" fillId="0" borderId="11" xfId="0" applyBorder="1"/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/>
    <xf numFmtId="0" fontId="0" fillId="0" borderId="12" xfId="0" applyBorder="1"/>
    <xf numFmtId="0" fontId="0" fillId="8" borderId="7" xfId="0" applyFill="1" applyBorder="1"/>
    <xf numFmtId="0" fontId="0" fillId="9" borderId="9" xfId="0" applyFill="1" applyBorder="1"/>
    <xf numFmtId="0" fontId="0" fillId="8" borderId="11" xfId="0" applyFill="1" applyBorder="1"/>
    <xf numFmtId="0" fontId="0" fillId="9" borderId="7" xfId="0" applyFill="1" applyBorder="1"/>
    <xf numFmtId="0" fontId="0" fillId="6" borderId="9" xfId="0" applyFill="1" applyBorder="1"/>
    <xf numFmtId="0" fontId="0" fillId="9" borderId="11" xfId="0" applyFill="1" applyBorder="1"/>
    <xf numFmtId="0" fontId="0" fillId="6" borderId="7" xfId="0" applyFill="1" applyBorder="1"/>
    <xf numFmtId="0" fontId="0" fillId="5" borderId="9" xfId="0" applyFill="1" applyBorder="1"/>
    <xf numFmtId="0" fontId="0" fillId="6" borderId="11" xfId="0" applyFill="1" applyBorder="1"/>
    <xf numFmtId="0" fontId="0" fillId="5" borderId="7" xfId="0" applyFill="1" applyBorder="1"/>
    <xf numFmtId="0" fontId="0" fillId="2" borderId="9" xfId="0" applyFill="1" applyBorder="1"/>
    <xf numFmtId="0" fontId="0" fillId="5" borderId="11" xfId="0" applyFill="1" applyBorder="1"/>
    <xf numFmtId="0" fontId="0" fillId="2" borderId="7" xfId="0" applyFill="1" applyBorder="1"/>
    <xf numFmtId="0" fontId="0" fillId="10" borderId="9" xfId="0" applyFill="1" applyBorder="1"/>
    <xf numFmtId="0" fontId="0" fillId="2" borderId="11" xfId="0" applyFill="1" applyBorder="1"/>
    <xf numFmtId="0" fontId="0" fillId="12" borderId="2" xfId="0" applyFill="1" applyBorder="1"/>
    <xf numFmtId="0" fontId="0" fillId="5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49" fontId="3" fillId="6" borderId="11" xfId="0" applyNumberFormat="1" applyFont="1" applyFill="1" applyBorder="1" applyAlignment="1" applyProtection="1">
      <alignment horizontal="left"/>
      <protection locked="0"/>
    </xf>
    <xf numFmtId="0" fontId="0" fillId="4" borderId="7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49" fontId="4" fillId="3" borderId="9" xfId="0" applyNumberFormat="1" applyFont="1" applyFill="1" applyBorder="1" applyAlignment="1" applyProtection="1">
      <alignment horizontal="left"/>
      <protection locked="0"/>
    </xf>
    <xf numFmtId="49" fontId="4" fillId="0" borderId="9" xfId="0" applyNumberFormat="1" applyFont="1" applyBorder="1" applyAlignment="1" applyProtection="1">
      <alignment horizontal="left"/>
      <protection locked="0"/>
    </xf>
    <xf numFmtId="0" fontId="0" fillId="6" borderId="7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10" borderId="7" xfId="0" applyFill="1" applyBorder="1"/>
    <xf numFmtId="0" fontId="0" fillId="10" borderId="11" xfId="0" applyFill="1" applyBorder="1"/>
    <xf numFmtId="0" fontId="2" fillId="11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F0D0-1732-4C95-B20E-AEC5F22380F2}">
  <dimension ref="A1:M33"/>
  <sheetViews>
    <sheetView workbookViewId="0">
      <selection activeCell="H21" sqref="H21:I33"/>
    </sheetView>
  </sheetViews>
  <sheetFormatPr baseColWidth="10" defaultRowHeight="14.5" x14ac:dyDescent="0.35"/>
  <cols>
    <col min="1" max="1" width="16" customWidth="1"/>
    <col min="3" max="3" width="6.6328125" customWidth="1"/>
    <col min="4" max="4" width="7.1796875" customWidth="1"/>
    <col min="5" max="5" width="8.90625" customWidth="1"/>
    <col min="6" max="6" width="36.1796875" customWidth="1"/>
    <col min="7" max="7" width="6.54296875" customWidth="1"/>
    <col min="8" max="8" width="18.36328125" customWidth="1"/>
    <col min="9" max="9" width="20.453125" customWidth="1"/>
    <col min="10" max="10" width="23.54296875" customWidth="1"/>
    <col min="11" max="12" width="24.08984375" customWidth="1"/>
    <col min="13" max="13" width="67.81640625" customWidth="1"/>
    <col min="14" max="14" width="19" customWidth="1"/>
  </cols>
  <sheetData>
    <row r="1" spans="1:13" ht="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155</v>
      </c>
      <c r="H1" s="3" t="s">
        <v>6</v>
      </c>
      <c r="I1" s="2" t="s">
        <v>7</v>
      </c>
      <c r="J1" s="2" t="s">
        <v>141</v>
      </c>
      <c r="K1" s="2" t="s">
        <v>140</v>
      </c>
      <c r="L1" s="2" t="s">
        <v>207</v>
      </c>
      <c r="M1" s="2" t="s">
        <v>105</v>
      </c>
    </row>
    <row r="2" spans="1:13" x14ac:dyDescent="0.35">
      <c r="A2" s="12" t="s">
        <v>149</v>
      </c>
      <c r="B2" s="4" t="s">
        <v>150</v>
      </c>
      <c r="C2" s="4" t="s">
        <v>16</v>
      </c>
      <c r="D2" s="4" t="s">
        <v>39</v>
      </c>
      <c r="E2" s="4" t="s">
        <v>68</v>
      </c>
      <c r="F2" s="4" t="s">
        <v>151</v>
      </c>
      <c r="G2" s="35" t="b">
        <v>1</v>
      </c>
      <c r="H2" s="6" t="s">
        <v>12</v>
      </c>
      <c r="I2" s="6" t="s">
        <v>12</v>
      </c>
      <c r="J2" t="s">
        <v>13</v>
      </c>
      <c r="K2" t="s">
        <v>13</v>
      </c>
      <c r="L2" t="s">
        <v>208</v>
      </c>
      <c r="M2" s="4" t="s">
        <v>136</v>
      </c>
    </row>
    <row r="3" spans="1:13" x14ac:dyDescent="0.35">
      <c r="A3" s="3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5" t="b">
        <v>0</v>
      </c>
      <c r="H3" s="7"/>
      <c r="I3" s="9"/>
      <c r="J3" s="5" t="s">
        <v>20</v>
      </c>
      <c r="K3" s="5" t="s">
        <v>20</v>
      </c>
      <c r="M3" s="5"/>
    </row>
    <row r="4" spans="1:13" x14ac:dyDescent="0.35">
      <c r="A4" s="34" t="s">
        <v>152</v>
      </c>
      <c r="B4" s="4" t="s">
        <v>153</v>
      </c>
      <c r="C4" s="4" t="s">
        <v>9</v>
      </c>
      <c r="D4" s="4" t="s">
        <v>22</v>
      </c>
      <c r="E4" s="4" t="s">
        <v>68</v>
      </c>
      <c r="F4" s="4" t="s">
        <v>154</v>
      </c>
      <c r="G4" s="35" t="b">
        <v>1</v>
      </c>
      <c r="H4" s="13" t="s">
        <v>87</v>
      </c>
      <c r="I4" s="9" t="s">
        <v>55</v>
      </c>
      <c r="J4" t="s">
        <v>13</v>
      </c>
      <c r="K4" t="s">
        <v>13</v>
      </c>
      <c r="L4" s="5" t="s">
        <v>49</v>
      </c>
      <c r="M4" s="5"/>
    </row>
    <row r="5" spans="1:13" x14ac:dyDescent="0.35">
      <c r="A5" s="33" t="s">
        <v>21</v>
      </c>
      <c r="B5" s="4"/>
      <c r="C5" s="4" t="s">
        <v>9</v>
      </c>
      <c r="D5" s="4" t="s">
        <v>22</v>
      </c>
      <c r="E5" s="4" t="s">
        <v>18</v>
      </c>
      <c r="F5" s="4" t="s">
        <v>23</v>
      </c>
      <c r="G5" s="35" t="b">
        <v>0</v>
      </c>
      <c r="H5" s="8" t="s">
        <v>12</v>
      </c>
      <c r="I5" s="4"/>
      <c r="J5" s="4" t="s">
        <v>25</v>
      </c>
      <c r="K5" s="4" t="s">
        <v>26</v>
      </c>
      <c r="L5" s="4"/>
      <c r="M5" s="4"/>
    </row>
    <row r="6" spans="1:13" x14ac:dyDescent="0.35">
      <c r="A6" s="12" t="s">
        <v>156</v>
      </c>
      <c r="B6" s="4" t="s">
        <v>157</v>
      </c>
      <c r="C6" s="4" t="s">
        <v>9</v>
      </c>
      <c r="D6" s="4" t="s">
        <v>22</v>
      </c>
      <c r="E6" s="4" t="s">
        <v>158</v>
      </c>
      <c r="F6" s="4" t="s">
        <v>159</v>
      </c>
      <c r="G6" s="35" t="b">
        <v>1</v>
      </c>
      <c r="H6" s="8" t="s">
        <v>56</v>
      </c>
      <c r="I6" s="9"/>
      <c r="J6" s="4" t="s">
        <v>160</v>
      </c>
      <c r="K6" s="4" t="s">
        <v>161</v>
      </c>
      <c r="L6" s="4" t="s">
        <v>209</v>
      </c>
      <c r="M6" s="4"/>
    </row>
    <row r="7" spans="1:13" x14ac:dyDescent="0.35">
      <c r="A7" s="12" t="s">
        <v>27</v>
      </c>
      <c r="B7" s="4" t="s">
        <v>28</v>
      </c>
      <c r="C7" s="4" t="s">
        <v>16</v>
      </c>
      <c r="D7" s="4" t="s">
        <v>17</v>
      </c>
      <c r="E7" s="4" t="s">
        <v>18</v>
      </c>
      <c r="F7" s="4" t="s">
        <v>29</v>
      </c>
      <c r="G7" s="35" t="b">
        <v>1</v>
      </c>
      <c r="H7" s="10" t="s">
        <v>30</v>
      </c>
      <c r="I7" s="4"/>
      <c r="J7" s="4" t="s">
        <v>31</v>
      </c>
      <c r="K7" s="4" t="s">
        <v>31</v>
      </c>
      <c r="L7" s="4" t="s">
        <v>208</v>
      </c>
      <c r="M7" s="4"/>
    </row>
    <row r="8" spans="1:13" x14ac:dyDescent="0.35">
      <c r="A8" s="18" t="s">
        <v>32</v>
      </c>
      <c r="B8" s="4" t="s">
        <v>33</v>
      </c>
      <c r="C8" s="4" t="s">
        <v>9</v>
      </c>
      <c r="D8" s="4" t="s">
        <v>34</v>
      </c>
      <c r="E8" s="4" t="s">
        <v>18</v>
      </c>
      <c r="F8" s="4" t="s">
        <v>35</v>
      </c>
      <c r="G8" s="35" t="b">
        <v>1</v>
      </c>
      <c r="H8" s="6" t="s">
        <v>36</v>
      </c>
      <c r="I8" s="6" t="s">
        <v>36</v>
      </c>
      <c r="J8" s="4" t="s">
        <v>36</v>
      </c>
      <c r="K8" s="4" t="s">
        <v>36</v>
      </c>
      <c r="L8" s="4" t="s">
        <v>208</v>
      </c>
      <c r="M8" s="4" t="s">
        <v>137</v>
      </c>
    </row>
    <row r="9" spans="1:13" x14ac:dyDescent="0.35">
      <c r="A9" s="18" t="s">
        <v>37</v>
      </c>
      <c r="B9" s="4" t="s">
        <v>38</v>
      </c>
      <c r="C9" s="4" t="s">
        <v>16</v>
      </c>
      <c r="D9" s="4" t="s">
        <v>39</v>
      </c>
      <c r="E9" s="4" t="s">
        <v>18</v>
      </c>
      <c r="F9" s="4" t="s">
        <v>40</v>
      </c>
      <c r="G9" s="35" t="b">
        <v>1</v>
      </c>
      <c r="H9" s="4" t="s">
        <v>41</v>
      </c>
      <c r="I9" s="4" t="s">
        <v>41</v>
      </c>
      <c r="J9" s="4" t="s">
        <v>36</v>
      </c>
      <c r="K9" s="4" t="s">
        <v>36</v>
      </c>
      <c r="L9" s="4"/>
      <c r="M9" s="4"/>
    </row>
    <row r="10" spans="1:13" x14ac:dyDescent="0.35">
      <c r="A10" s="18" t="s">
        <v>42</v>
      </c>
      <c r="B10" s="4" t="s">
        <v>43</v>
      </c>
      <c r="C10" s="4" t="s">
        <v>9</v>
      </c>
      <c r="D10" s="4" t="s">
        <v>44</v>
      </c>
      <c r="E10" s="4" t="s">
        <v>11</v>
      </c>
      <c r="F10" s="4" t="s">
        <v>45</v>
      </c>
      <c r="G10" s="35" t="b">
        <v>1</v>
      </c>
      <c r="H10" s="8" t="s">
        <v>49</v>
      </c>
      <c r="I10" s="4"/>
      <c r="J10" s="4" t="s">
        <v>36</v>
      </c>
      <c r="K10" s="4" t="s">
        <v>13</v>
      </c>
      <c r="L10" s="4" t="s">
        <v>210</v>
      </c>
      <c r="M10" s="4"/>
    </row>
    <row r="11" spans="1:13" x14ac:dyDescent="0.35">
      <c r="A11" s="18" t="s">
        <v>48</v>
      </c>
      <c r="B11" s="4" t="s">
        <v>46</v>
      </c>
      <c r="C11" s="4" t="s">
        <v>9</v>
      </c>
      <c r="D11" s="4" t="s">
        <v>10</v>
      </c>
      <c r="E11" s="4" t="s">
        <v>18</v>
      </c>
      <c r="F11" s="4" t="s">
        <v>47</v>
      </c>
      <c r="G11" s="35" t="b">
        <v>1</v>
      </c>
      <c r="H11" s="11" t="s">
        <v>49</v>
      </c>
      <c r="I11" s="4"/>
      <c r="J11" s="4" t="s">
        <v>36</v>
      </c>
      <c r="K11" s="4" t="s">
        <v>13</v>
      </c>
      <c r="L11" s="4"/>
      <c r="M11" s="4"/>
    </row>
    <row r="12" spans="1:13" x14ac:dyDescent="0.35">
      <c r="A12" s="15" t="s">
        <v>50</v>
      </c>
      <c r="B12" s="4" t="s">
        <v>51</v>
      </c>
      <c r="C12" s="4" t="s">
        <v>16</v>
      </c>
      <c r="D12" s="4" t="s">
        <v>52</v>
      </c>
      <c r="E12" s="4" t="s">
        <v>18</v>
      </c>
      <c r="F12" s="4" t="s">
        <v>53</v>
      </c>
      <c r="G12" s="35" t="b">
        <v>1</v>
      </c>
      <c r="H12" s="13" t="s">
        <v>56</v>
      </c>
      <c r="I12" s="4" t="s">
        <v>55</v>
      </c>
      <c r="J12" s="4" t="s">
        <v>58</v>
      </c>
      <c r="K12" s="4" t="s">
        <v>58</v>
      </c>
      <c r="L12" s="4"/>
      <c r="M12" s="4" t="s">
        <v>138</v>
      </c>
    </row>
    <row r="13" spans="1:13" x14ac:dyDescent="0.35">
      <c r="A13" s="15" t="s">
        <v>57</v>
      </c>
      <c r="B13" s="14" t="s">
        <v>63</v>
      </c>
      <c r="C13" s="14" t="s">
        <v>16</v>
      </c>
      <c r="D13" s="14" t="s">
        <v>10</v>
      </c>
      <c r="E13" s="14" t="s">
        <v>18</v>
      </c>
      <c r="F13" s="14" t="s">
        <v>64</v>
      </c>
      <c r="G13" s="36" t="b">
        <v>1</v>
      </c>
      <c r="H13" s="4" t="s">
        <v>41</v>
      </c>
      <c r="I13" s="4" t="s">
        <v>41</v>
      </c>
      <c r="J13" s="4" t="s">
        <v>59</v>
      </c>
      <c r="K13" s="4" t="s">
        <v>59</v>
      </c>
      <c r="L13" s="4"/>
      <c r="M13" s="4"/>
    </row>
    <row r="14" spans="1:13" x14ac:dyDescent="0.35">
      <c r="A14" s="15" t="s">
        <v>60</v>
      </c>
      <c r="B14" s="4" t="s">
        <v>61</v>
      </c>
      <c r="C14" s="4" t="s">
        <v>9</v>
      </c>
      <c r="D14" s="4" t="s">
        <v>22</v>
      </c>
      <c r="E14" s="4" t="s">
        <v>18</v>
      </c>
      <c r="F14" s="4" t="s">
        <v>62</v>
      </c>
      <c r="G14" s="35" t="b">
        <v>1</v>
      </c>
      <c r="H14" s="7"/>
      <c r="I14" s="4"/>
      <c r="J14" s="4" t="s">
        <v>54</v>
      </c>
      <c r="K14" s="4" t="s">
        <v>13</v>
      </c>
      <c r="L14" s="4"/>
      <c r="M14" s="4"/>
    </row>
    <row r="15" spans="1:13" x14ac:dyDescent="0.35">
      <c r="A15" s="15" t="s">
        <v>65</v>
      </c>
      <c r="B15" s="4" t="s">
        <v>66</v>
      </c>
      <c r="C15" s="4" t="s">
        <v>16</v>
      </c>
      <c r="D15" s="4" t="s">
        <v>67</v>
      </c>
      <c r="E15" s="4" t="s">
        <v>68</v>
      </c>
      <c r="F15" s="4" t="s">
        <v>69</v>
      </c>
      <c r="G15" s="35" t="b">
        <v>1</v>
      </c>
      <c r="H15" s="8" t="s">
        <v>71</v>
      </c>
      <c r="I15" s="4"/>
      <c r="J15" s="4" t="s">
        <v>70</v>
      </c>
      <c r="K15" s="4" t="s">
        <v>70</v>
      </c>
      <c r="L15" s="4"/>
      <c r="M15" s="4"/>
    </row>
    <row r="16" spans="1:13" x14ac:dyDescent="0.35">
      <c r="A16" s="19" t="s">
        <v>72</v>
      </c>
      <c r="B16" s="4" t="s">
        <v>73</v>
      </c>
      <c r="C16" s="4" t="s">
        <v>9</v>
      </c>
      <c r="D16" s="4" t="s">
        <v>44</v>
      </c>
      <c r="E16" s="4" t="s">
        <v>18</v>
      </c>
      <c r="F16" s="4" t="s">
        <v>74</v>
      </c>
      <c r="G16" s="35" t="b">
        <v>1</v>
      </c>
      <c r="H16" s="13" t="s">
        <v>56</v>
      </c>
      <c r="I16" s="6" t="s">
        <v>56</v>
      </c>
      <c r="J16" s="4" t="s">
        <v>78</v>
      </c>
      <c r="K16" s="4" t="s">
        <v>78</v>
      </c>
      <c r="L16" s="4"/>
      <c r="M16" s="4" t="s">
        <v>139</v>
      </c>
    </row>
    <row r="17" spans="1:13" x14ac:dyDescent="0.35">
      <c r="A17" s="33" t="s">
        <v>76</v>
      </c>
      <c r="B17" s="4" t="s">
        <v>79</v>
      </c>
      <c r="C17" s="4" t="s">
        <v>16</v>
      </c>
      <c r="D17" s="4" t="s">
        <v>44</v>
      </c>
      <c r="E17" s="4" t="s">
        <v>18</v>
      </c>
      <c r="F17" s="4" t="s">
        <v>80</v>
      </c>
      <c r="G17" s="35" t="b">
        <v>0</v>
      </c>
      <c r="H17" s="7"/>
      <c r="I17" s="4"/>
      <c r="J17" s="4" t="s">
        <v>77</v>
      </c>
      <c r="K17" s="4" t="s">
        <v>77</v>
      </c>
      <c r="L17" s="4"/>
      <c r="M17" s="4"/>
    </row>
    <row r="18" spans="1:13" x14ac:dyDescent="0.35">
      <c r="A18" s="19" t="s">
        <v>162</v>
      </c>
      <c r="B18" s="4" t="s">
        <v>163</v>
      </c>
      <c r="C18" s="4" t="s">
        <v>9</v>
      </c>
      <c r="D18" s="4" t="s">
        <v>67</v>
      </c>
      <c r="E18" s="4" t="s">
        <v>11</v>
      </c>
      <c r="F18" s="4" t="s">
        <v>164</v>
      </c>
      <c r="G18" s="35" t="b">
        <v>1</v>
      </c>
      <c r="H18" s="7"/>
      <c r="I18" s="4"/>
      <c r="J18" s="4" t="s">
        <v>75</v>
      </c>
      <c r="K18" s="4" t="s">
        <v>75</v>
      </c>
      <c r="L18" s="4"/>
      <c r="M18" s="4"/>
    </row>
    <row r="19" spans="1:13" x14ac:dyDescent="0.35">
      <c r="A19" s="19" t="s">
        <v>81</v>
      </c>
      <c r="B19" s="4" t="s">
        <v>66</v>
      </c>
      <c r="C19" s="4" t="s">
        <v>9</v>
      </c>
      <c r="D19" s="4" t="s">
        <v>39</v>
      </c>
      <c r="E19" s="4" t="s">
        <v>11</v>
      </c>
      <c r="F19" s="4" t="s">
        <v>82</v>
      </c>
      <c r="G19" s="35" t="b">
        <v>1</v>
      </c>
      <c r="H19" s="8" t="s">
        <v>49</v>
      </c>
      <c r="I19" s="4"/>
      <c r="J19" s="4" t="s">
        <v>75</v>
      </c>
      <c r="K19" s="4" t="s">
        <v>54</v>
      </c>
      <c r="L19" s="4"/>
      <c r="M19" s="4"/>
    </row>
    <row r="20" spans="1:13" x14ac:dyDescent="0.35">
      <c r="A20" s="33" t="s">
        <v>83</v>
      </c>
      <c r="B20" s="4" t="s">
        <v>66</v>
      </c>
      <c r="C20" s="4" t="s">
        <v>9</v>
      </c>
      <c r="D20" s="4" t="s">
        <v>22</v>
      </c>
      <c r="E20" s="4" t="s">
        <v>11</v>
      </c>
      <c r="F20" s="4" t="s">
        <v>84</v>
      </c>
      <c r="G20" s="35" t="b">
        <v>0</v>
      </c>
      <c r="H20" s="6" t="s">
        <v>56</v>
      </c>
      <c r="I20" s="4"/>
      <c r="J20" s="4" t="s">
        <v>75</v>
      </c>
      <c r="K20" s="4" t="s">
        <v>75</v>
      </c>
      <c r="L20" s="4"/>
      <c r="M20" s="4"/>
    </row>
    <row r="21" spans="1:13" x14ac:dyDescent="0.35">
      <c r="A21" s="32" t="s">
        <v>165</v>
      </c>
      <c r="B21" s="4" t="s">
        <v>166</v>
      </c>
      <c r="C21" s="4" t="s">
        <v>9</v>
      </c>
      <c r="D21" s="4" t="s">
        <v>22</v>
      </c>
      <c r="E21" s="4" t="s">
        <v>68</v>
      </c>
      <c r="F21" s="4" t="s">
        <v>167</v>
      </c>
      <c r="G21" s="35" t="b">
        <v>1</v>
      </c>
      <c r="H21" s="13" t="s">
        <v>12</v>
      </c>
      <c r="I21" s="9"/>
      <c r="J21" s="4" t="s">
        <v>75</v>
      </c>
      <c r="K21" s="4" t="s">
        <v>75</v>
      </c>
      <c r="L21" s="4"/>
      <c r="M21" s="4"/>
    </row>
    <row r="22" spans="1:13" x14ac:dyDescent="0.35">
      <c r="A22" s="20" t="s">
        <v>85</v>
      </c>
      <c r="B22" s="4" t="s">
        <v>89</v>
      </c>
      <c r="C22" s="4" t="s">
        <v>16</v>
      </c>
      <c r="D22" s="4" t="s">
        <v>90</v>
      </c>
      <c r="E22" s="4" t="s">
        <v>18</v>
      </c>
      <c r="F22" s="4" t="s">
        <v>91</v>
      </c>
      <c r="G22" s="35" t="b">
        <v>1</v>
      </c>
      <c r="H22" s="6" t="s">
        <v>87</v>
      </c>
      <c r="I22" s="9" t="s">
        <v>88</v>
      </c>
      <c r="J22" s="4" t="s">
        <v>86</v>
      </c>
      <c r="K22" s="4" t="s">
        <v>86</v>
      </c>
      <c r="L22" s="4"/>
      <c r="M22" s="4"/>
    </row>
    <row r="23" spans="1:13" x14ac:dyDescent="0.35">
      <c r="A23" s="20" t="s">
        <v>92</v>
      </c>
      <c r="B23" s="14" t="s">
        <v>93</v>
      </c>
      <c r="C23" s="14" t="s">
        <v>9</v>
      </c>
      <c r="D23" s="14" t="s">
        <v>67</v>
      </c>
      <c r="E23" s="14" t="s">
        <v>18</v>
      </c>
      <c r="F23" s="14" t="s">
        <v>94</v>
      </c>
      <c r="G23" s="36" t="b">
        <v>1</v>
      </c>
      <c r="H23" s="4" t="s">
        <v>41</v>
      </c>
      <c r="I23" s="4" t="s">
        <v>41</v>
      </c>
      <c r="J23" s="4" t="s">
        <v>86</v>
      </c>
      <c r="K23" s="4" t="s">
        <v>13</v>
      </c>
      <c r="L23" s="4"/>
      <c r="M23" s="4"/>
    </row>
    <row r="24" spans="1:13" x14ac:dyDescent="0.35">
      <c r="A24" s="20" t="s">
        <v>95</v>
      </c>
      <c r="B24" s="4" t="s">
        <v>96</v>
      </c>
      <c r="C24" s="4" t="s">
        <v>16</v>
      </c>
      <c r="D24" s="4">
        <v>0.05</v>
      </c>
      <c r="E24" s="4" t="s">
        <v>11</v>
      </c>
      <c r="F24" s="4" t="s">
        <v>98</v>
      </c>
      <c r="G24" s="35" t="b">
        <v>1</v>
      </c>
      <c r="H24" s="7"/>
      <c r="I24" s="4"/>
      <c r="J24" s="4" t="s">
        <v>86</v>
      </c>
      <c r="K24" s="4" t="s">
        <v>86</v>
      </c>
      <c r="L24" s="4"/>
      <c r="M24" s="4"/>
    </row>
    <row r="25" spans="1:13" x14ac:dyDescent="0.35">
      <c r="A25" s="20" t="s">
        <v>99</v>
      </c>
      <c r="B25" s="4" t="s">
        <v>100</v>
      </c>
      <c r="C25" s="4" t="s">
        <v>101</v>
      </c>
      <c r="D25" s="4" t="s">
        <v>102</v>
      </c>
      <c r="E25" s="4" t="s">
        <v>11</v>
      </c>
      <c r="F25" s="4" t="s">
        <v>103</v>
      </c>
      <c r="G25" s="35" t="b">
        <v>1</v>
      </c>
      <c r="H25" s="8" t="s">
        <v>56</v>
      </c>
      <c r="I25" s="4"/>
      <c r="J25" s="4" t="s">
        <v>86</v>
      </c>
      <c r="K25" s="4" t="s">
        <v>86</v>
      </c>
      <c r="L25" s="4"/>
      <c r="M25" s="4"/>
    </row>
    <row r="26" spans="1:13" x14ac:dyDescent="0.35">
      <c r="A26" s="21" t="s">
        <v>104</v>
      </c>
      <c r="B26" s="4" t="s">
        <v>106</v>
      </c>
      <c r="C26" s="4" t="s">
        <v>9</v>
      </c>
      <c r="D26" s="4" t="s">
        <v>39</v>
      </c>
      <c r="E26" s="4" t="s">
        <v>11</v>
      </c>
      <c r="F26" s="4" t="s">
        <v>107</v>
      </c>
      <c r="G26" s="35" t="b">
        <v>1</v>
      </c>
      <c r="H26" s="16" t="s">
        <v>108</v>
      </c>
      <c r="I26" s="17" t="s">
        <v>55</v>
      </c>
      <c r="J26" s="4" t="s">
        <v>24</v>
      </c>
      <c r="K26" s="4" t="s">
        <v>24</v>
      </c>
      <c r="L26" s="4"/>
      <c r="M26" s="4" t="s">
        <v>119</v>
      </c>
    </row>
    <row r="27" spans="1:13" x14ac:dyDescent="0.35">
      <c r="A27" s="21" t="s">
        <v>109</v>
      </c>
      <c r="B27" s="4" t="s">
        <v>110</v>
      </c>
      <c r="C27" s="4" t="s">
        <v>9</v>
      </c>
      <c r="D27" s="4" t="s">
        <v>22</v>
      </c>
      <c r="E27" s="4" t="s">
        <v>18</v>
      </c>
      <c r="F27" s="4" t="s">
        <v>111</v>
      </c>
      <c r="G27" s="35" t="b">
        <v>1</v>
      </c>
      <c r="H27" s="7"/>
      <c r="I27" s="4"/>
      <c r="J27" s="4" t="s">
        <v>24</v>
      </c>
      <c r="K27" s="4" t="s">
        <v>13</v>
      </c>
      <c r="L27" s="4"/>
      <c r="M27" s="4"/>
    </row>
    <row r="28" spans="1:13" x14ac:dyDescent="0.35">
      <c r="A28" s="21" t="s">
        <v>112</v>
      </c>
      <c r="B28" s="4" t="s">
        <v>113</v>
      </c>
      <c r="C28" s="4" t="s">
        <v>9</v>
      </c>
      <c r="D28" s="4" t="s">
        <v>39</v>
      </c>
      <c r="E28" s="4" t="s">
        <v>18</v>
      </c>
      <c r="F28" s="4" t="s">
        <v>114</v>
      </c>
      <c r="G28" s="35" t="b">
        <v>1</v>
      </c>
      <c r="H28" s="13" t="s">
        <v>115</v>
      </c>
      <c r="I28" s="4"/>
      <c r="J28" s="4" t="s">
        <v>24</v>
      </c>
      <c r="K28" s="4" t="s">
        <v>24</v>
      </c>
      <c r="L28" s="4"/>
      <c r="M28" s="4"/>
    </row>
    <row r="29" spans="1:13" x14ac:dyDescent="0.35">
      <c r="A29" s="21" t="s">
        <v>116</v>
      </c>
      <c r="B29" s="4" t="s">
        <v>117</v>
      </c>
      <c r="C29" s="4" t="s">
        <v>16</v>
      </c>
      <c r="D29" s="4" t="s">
        <v>44</v>
      </c>
      <c r="E29" s="4" t="s">
        <v>18</v>
      </c>
      <c r="F29" s="4" t="s">
        <v>118</v>
      </c>
      <c r="G29" s="35" t="b">
        <v>1</v>
      </c>
      <c r="H29" s="7" t="s">
        <v>115</v>
      </c>
      <c r="I29" s="4"/>
      <c r="J29" s="4" t="s">
        <v>24</v>
      </c>
      <c r="K29" s="4" t="s">
        <v>24</v>
      </c>
      <c r="L29" s="4"/>
      <c r="M29" s="4"/>
    </row>
    <row r="30" spans="1:13" x14ac:dyDescent="0.35">
      <c r="A30" s="22" t="s">
        <v>120</v>
      </c>
      <c r="B30" s="4" t="s">
        <v>66</v>
      </c>
      <c r="C30" s="4" t="s">
        <v>9</v>
      </c>
      <c r="D30" s="4" t="s">
        <v>44</v>
      </c>
      <c r="E30" s="4" t="s">
        <v>121</v>
      </c>
      <c r="F30" s="4" t="s">
        <v>56</v>
      </c>
      <c r="G30" s="35" t="b">
        <v>1</v>
      </c>
      <c r="H30" s="6" t="s">
        <v>49</v>
      </c>
      <c r="I30" s="9" t="s">
        <v>122</v>
      </c>
      <c r="J30" s="4" t="s">
        <v>123</v>
      </c>
      <c r="K30" s="4" t="s">
        <v>123</v>
      </c>
      <c r="L30" s="4"/>
      <c r="M30" s="4" t="s">
        <v>124</v>
      </c>
    </row>
    <row r="31" spans="1:13" x14ac:dyDescent="0.35">
      <c r="A31" s="22" t="s">
        <v>125</v>
      </c>
      <c r="B31" s="4" t="s">
        <v>126</v>
      </c>
      <c r="C31" s="4" t="s">
        <v>9</v>
      </c>
      <c r="D31" s="4" t="s">
        <v>17</v>
      </c>
      <c r="E31" s="4" t="s">
        <v>11</v>
      </c>
      <c r="F31" s="4" t="s">
        <v>127</v>
      </c>
      <c r="G31" s="35" t="b">
        <v>1</v>
      </c>
      <c r="H31" s="7"/>
      <c r="I31" s="4"/>
      <c r="J31" s="4" t="s">
        <v>123</v>
      </c>
      <c r="K31" s="4" t="s">
        <v>13</v>
      </c>
      <c r="L31" s="4"/>
      <c r="M31" s="4"/>
    </row>
    <row r="32" spans="1:13" x14ac:dyDescent="0.35">
      <c r="A32" s="22" t="s">
        <v>128</v>
      </c>
      <c r="B32" s="4" t="s">
        <v>129</v>
      </c>
      <c r="C32" s="4" t="s">
        <v>16</v>
      </c>
      <c r="D32" s="4" t="s">
        <v>90</v>
      </c>
      <c r="E32" s="4" t="s">
        <v>11</v>
      </c>
      <c r="F32" s="4" t="s">
        <v>130</v>
      </c>
      <c r="G32" s="35" t="b">
        <v>1</v>
      </c>
      <c r="H32" s="8" t="s">
        <v>131</v>
      </c>
      <c r="I32" s="4"/>
      <c r="J32" s="4" t="s">
        <v>123</v>
      </c>
      <c r="K32" s="4" t="s">
        <v>123</v>
      </c>
      <c r="L32" s="4"/>
      <c r="M32" s="4"/>
    </row>
    <row r="33" spans="1:13" x14ac:dyDescent="0.35">
      <c r="A33" s="22" t="s">
        <v>132</v>
      </c>
      <c r="B33" s="4" t="s">
        <v>133</v>
      </c>
      <c r="C33" s="4" t="s">
        <v>16</v>
      </c>
      <c r="D33" s="4" t="s">
        <v>134</v>
      </c>
      <c r="E33" s="4" t="s">
        <v>11</v>
      </c>
      <c r="F33" s="4" t="s">
        <v>135</v>
      </c>
      <c r="G33" s="35" t="b">
        <v>1</v>
      </c>
      <c r="H33" s="7" t="s">
        <v>115</v>
      </c>
      <c r="I33" s="4"/>
      <c r="J33" s="4" t="s">
        <v>123</v>
      </c>
      <c r="K33" s="4" t="s">
        <v>24</v>
      </c>
      <c r="L33" s="4"/>
      <c r="M33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6616-971F-4A67-B52F-790360D3674C}">
  <dimension ref="A1:H77"/>
  <sheetViews>
    <sheetView workbookViewId="0">
      <selection activeCell="E3" sqref="E3"/>
    </sheetView>
  </sheetViews>
  <sheetFormatPr baseColWidth="10" defaultRowHeight="14.5" x14ac:dyDescent="0.35"/>
  <cols>
    <col min="1" max="1" width="10.6328125" customWidth="1"/>
    <col min="2" max="2" width="6.90625" hidden="1" customWidth="1"/>
    <col min="3" max="3" width="19.81640625" customWidth="1"/>
    <col min="4" max="4" width="16.6328125" customWidth="1"/>
    <col min="5" max="5" width="32.90625" customWidth="1"/>
    <col min="6" max="6" width="16" customWidth="1"/>
    <col min="7" max="7" width="15.08984375" customWidth="1"/>
    <col min="8" max="8" width="35.54296875" customWidth="1"/>
    <col min="14" max="14" width="18" customWidth="1"/>
  </cols>
  <sheetData>
    <row r="1" spans="1:8" ht="16" x14ac:dyDescent="0.4">
      <c r="A1" s="24" t="s">
        <v>180</v>
      </c>
      <c r="B1" s="25" t="s">
        <v>3</v>
      </c>
      <c r="C1" s="91" t="s">
        <v>148</v>
      </c>
      <c r="D1" s="92"/>
      <c r="E1" s="25" t="s">
        <v>8</v>
      </c>
      <c r="F1" s="93" t="s">
        <v>142</v>
      </c>
      <c r="G1" s="94"/>
      <c r="H1" s="25" t="s">
        <v>143</v>
      </c>
    </row>
    <row r="2" spans="1:8" s="28" customFormat="1" ht="16" x14ac:dyDescent="0.4">
      <c r="A2" s="26"/>
      <c r="B2" s="27"/>
      <c r="C2" s="29" t="s">
        <v>146</v>
      </c>
      <c r="D2" s="29" t="s">
        <v>147</v>
      </c>
      <c r="E2" s="27"/>
      <c r="F2" s="27" t="s">
        <v>144</v>
      </c>
      <c r="G2" s="27" t="s">
        <v>145</v>
      </c>
      <c r="H2" s="27"/>
    </row>
    <row r="3" spans="1:8" x14ac:dyDescent="0.35">
      <c r="A3" s="12" t="s">
        <v>149</v>
      </c>
      <c r="B3" s="4" t="s">
        <v>39</v>
      </c>
      <c r="C3" t="s">
        <v>13</v>
      </c>
      <c r="D3" s="4" t="s">
        <v>13</v>
      </c>
      <c r="E3" s="5"/>
      <c r="F3" s="23" t="b">
        <v>0</v>
      </c>
      <c r="G3" s="23" t="b">
        <v>0</v>
      </c>
      <c r="H3" s="4"/>
    </row>
    <row r="4" spans="1:8" x14ac:dyDescent="0.35">
      <c r="A4" s="12" t="s">
        <v>152</v>
      </c>
      <c r="B4" s="4" t="s">
        <v>22</v>
      </c>
      <c r="C4" s="4" t="s">
        <v>13</v>
      </c>
      <c r="D4" s="4" t="s">
        <v>13</v>
      </c>
      <c r="E4" s="4"/>
      <c r="F4" s="35" t="b">
        <v>0</v>
      </c>
      <c r="G4" s="35" t="b">
        <v>0</v>
      </c>
      <c r="H4" s="4"/>
    </row>
    <row r="5" spans="1:8" x14ac:dyDescent="0.35">
      <c r="A5" s="12" t="s">
        <v>156</v>
      </c>
      <c r="B5" s="4" t="s">
        <v>22</v>
      </c>
      <c r="C5" s="4" t="s">
        <v>160</v>
      </c>
      <c r="D5" s="4" t="s">
        <v>161</v>
      </c>
      <c r="E5" s="4"/>
      <c r="F5" s="35" t="b">
        <v>0</v>
      </c>
      <c r="G5" s="35" t="b">
        <v>0</v>
      </c>
      <c r="H5" s="4"/>
    </row>
    <row r="6" spans="1:8" x14ac:dyDescent="0.35">
      <c r="A6" s="12" t="s">
        <v>27</v>
      </c>
      <c r="B6" s="4" t="s">
        <v>17</v>
      </c>
      <c r="C6" s="4" t="s">
        <v>13</v>
      </c>
      <c r="D6" s="4" t="s">
        <v>13</v>
      </c>
      <c r="E6" s="4"/>
      <c r="F6" s="35" t="b">
        <v>0</v>
      </c>
      <c r="G6" s="35" t="b">
        <v>0</v>
      </c>
      <c r="H6" s="4"/>
    </row>
    <row r="7" spans="1:8" x14ac:dyDescent="0.35">
      <c r="A7" s="18" t="s">
        <v>32</v>
      </c>
      <c r="B7" s="4" t="s">
        <v>34</v>
      </c>
      <c r="C7" s="4" t="s">
        <v>36</v>
      </c>
      <c r="D7" s="4" t="s">
        <v>36</v>
      </c>
      <c r="E7" s="4"/>
      <c r="F7" s="35" t="b">
        <v>0</v>
      </c>
      <c r="G7" s="35" t="b">
        <v>0</v>
      </c>
      <c r="H7" s="4"/>
    </row>
    <row r="8" spans="1:8" x14ac:dyDescent="0.35">
      <c r="A8" s="18" t="s">
        <v>37</v>
      </c>
      <c r="B8" s="4" t="s">
        <v>39</v>
      </c>
      <c r="C8" s="4" t="s">
        <v>36</v>
      </c>
      <c r="D8" s="4" t="s">
        <v>36</v>
      </c>
      <c r="E8" s="4"/>
      <c r="F8" s="35" t="b">
        <v>0</v>
      </c>
      <c r="G8" s="35" t="b">
        <v>0</v>
      </c>
      <c r="H8" s="4"/>
    </row>
    <row r="9" spans="1:8" x14ac:dyDescent="0.35">
      <c r="A9" s="18" t="s">
        <v>42</v>
      </c>
      <c r="B9" s="4" t="s">
        <v>44</v>
      </c>
      <c r="C9" s="4" t="s">
        <v>36</v>
      </c>
      <c r="D9" s="4" t="s">
        <v>13</v>
      </c>
      <c r="E9" s="4"/>
      <c r="F9" s="35" t="b">
        <v>0</v>
      </c>
      <c r="G9" s="35" t="b">
        <v>0</v>
      </c>
      <c r="H9" s="4"/>
    </row>
    <row r="10" spans="1:8" x14ac:dyDescent="0.35">
      <c r="A10" s="18" t="s">
        <v>48</v>
      </c>
      <c r="B10" s="4" t="s">
        <v>10</v>
      </c>
      <c r="C10" s="4" t="s">
        <v>36</v>
      </c>
      <c r="D10" s="4" t="s">
        <v>13</v>
      </c>
      <c r="E10" s="4"/>
      <c r="F10" s="35" t="b">
        <v>0</v>
      </c>
      <c r="G10" s="35" t="b">
        <v>0</v>
      </c>
      <c r="H10" s="4"/>
    </row>
    <row r="11" spans="1:8" x14ac:dyDescent="0.35">
      <c r="A11" s="15" t="s">
        <v>50</v>
      </c>
      <c r="B11" s="4" t="s">
        <v>52</v>
      </c>
      <c r="C11" s="4" t="s">
        <v>54</v>
      </c>
      <c r="D11" s="4" t="s">
        <v>54</v>
      </c>
      <c r="E11" s="4"/>
      <c r="F11" s="35" t="b">
        <v>0</v>
      </c>
      <c r="G11" s="35" t="b">
        <v>0</v>
      </c>
      <c r="H11" s="4"/>
    </row>
    <row r="12" spans="1:8" x14ac:dyDescent="0.35">
      <c r="A12" s="15" t="s">
        <v>57</v>
      </c>
      <c r="B12" s="14" t="s">
        <v>10</v>
      </c>
      <c r="C12" s="4" t="s">
        <v>54</v>
      </c>
      <c r="D12" s="4" t="s">
        <v>54</v>
      </c>
      <c r="E12" s="4"/>
      <c r="F12" s="35" t="b">
        <v>0</v>
      </c>
      <c r="G12" s="35" t="b">
        <v>0</v>
      </c>
      <c r="H12" s="4"/>
    </row>
    <row r="13" spans="1:8" x14ac:dyDescent="0.35">
      <c r="A13" s="15" t="s">
        <v>60</v>
      </c>
      <c r="B13" s="4" t="s">
        <v>22</v>
      </c>
      <c r="C13" s="4" t="s">
        <v>54</v>
      </c>
      <c r="D13" s="4" t="s">
        <v>13</v>
      </c>
      <c r="E13" s="4"/>
      <c r="F13" s="35" t="b">
        <v>0</v>
      </c>
      <c r="G13" s="35" t="b">
        <v>0</v>
      </c>
      <c r="H13" s="4"/>
    </row>
    <row r="14" spans="1:8" x14ac:dyDescent="0.35">
      <c r="A14" s="15" t="s">
        <v>65</v>
      </c>
      <c r="B14" s="4" t="s">
        <v>67</v>
      </c>
      <c r="C14" s="4" t="s">
        <v>54</v>
      </c>
      <c r="D14" s="4" t="s">
        <v>54</v>
      </c>
      <c r="E14" s="4"/>
      <c r="F14" s="35" t="b">
        <v>0</v>
      </c>
      <c r="G14" s="35" t="b">
        <v>0</v>
      </c>
      <c r="H14" s="4"/>
    </row>
    <row r="15" spans="1:8" x14ac:dyDescent="0.35">
      <c r="A15" s="19" t="s">
        <v>72</v>
      </c>
      <c r="B15" s="4" t="s">
        <v>44</v>
      </c>
      <c r="C15" s="4" t="s">
        <v>75</v>
      </c>
      <c r="D15" s="4" t="s">
        <v>75</v>
      </c>
      <c r="E15" s="4"/>
      <c r="F15" s="35" t="b">
        <v>0</v>
      </c>
      <c r="G15" s="35" t="b">
        <v>0</v>
      </c>
      <c r="H15" s="4"/>
    </row>
    <row r="16" spans="1:8" x14ac:dyDescent="0.35">
      <c r="A16" s="19" t="s">
        <v>162</v>
      </c>
      <c r="B16" s="4" t="s">
        <v>67</v>
      </c>
      <c r="C16" s="4" t="s">
        <v>75</v>
      </c>
      <c r="D16" s="4" t="s">
        <v>75</v>
      </c>
      <c r="E16" s="4"/>
      <c r="F16" s="35" t="b">
        <v>0</v>
      </c>
      <c r="G16" s="35" t="b">
        <v>0</v>
      </c>
      <c r="H16" s="4"/>
    </row>
    <row r="17" spans="1:8" x14ac:dyDescent="0.35">
      <c r="A17" s="19" t="s">
        <v>81</v>
      </c>
      <c r="B17" s="4" t="s">
        <v>39</v>
      </c>
      <c r="C17" s="4" t="s">
        <v>75</v>
      </c>
      <c r="D17" s="4" t="s">
        <v>54</v>
      </c>
      <c r="E17" s="4"/>
      <c r="F17" s="35" t="b">
        <v>0</v>
      </c>
      <c r="G17" s="35" t="b">
        <v>0</v>
      </c>
      <c r="H17" s="4"/>
    </row>
    <row r="18" spans="1:8" x14ac:dyDescent="0.35">
      <c r="A18" s="19" t="s">
        <v>165</v>
      </c>
      <c r="B18" s="4" t="s">
        <v>22</v>
      </c>
      <c r="C18" s="4" t="s">
        <v>75</v>
      </c>
      <c r="D18" s="4" t="s">
        <v>75</v>
      </c>
      <c r="E18" s="4"/>
      <c r="F18" s="35" t="b">
        <v>0</v>
      </c>
      <c r="G18" s="35" t="b">
        <v>0</v>
      </c>
      <c r="H18" s="4"/>
    </row>
    <row r="19" spans="1:8" x14ac:dyDescent="0.35">
      <c r="A19" s="20" t="s">
        <v>85</v>
      </c>
      <c r="B19" s="4" t="s">
        <v>90</v>
      </c>
      <c r="C19" s="4" t="s">
        <v>86</v>
      </c>
      <c r="D19" s="4" t="s">
        <v>86</v>
      </c>
      <c r="E19" s="4"/>
      <c r="F19" s="35" t="b">
        <v>0</v>
      </c>
      <c r="G19" s="35" t="b">
        <v>0</v>
      </c>
      <c r="H19" s="4"/>
    </row>
    <row r="20" spans="1:8" x14ac:dyDescent="0.35">
      <c r="A20" s="20" t="s">
        <v>92</v>
      </c>
      <c r="B20" s="14" t="s">
        <v>67</v>
      </c>
      <c r="C20" s="4" t="s">
        <v>86</v>
      </c>
      <c r="D20" s="4" t="s">
        <v>13</v>
      </c>
      <c r="E20" s="4"/>
      <c r="F20" s="35" t="b">
        <v>0</v>
      </c>
      <c r="G20" s="35" t="b">
        <v>0</v>
      </c>
      <c r="H20" s="4"/>
    </row>
    <row r="21" spans="1:8" x14ac:dyDescent="0.35">
      <c r="A21" s="20" t="s">
        <v>95</v>
      </c>
      <c r="B21" s="4" t="s">
        <v>97</v>
      </c>
      <c r="C21" s="4" t="s">
        <v>86</v>
      </c>
      <c r="D21" s="4" t="s">
        <v>86</v>
      </c>
      <c r="E21" s="4"/>
      <c r="F21" s="35" t="b">
        <v>0</v>
      </c>
      <c r="G21" s="35" t="b">
        <v>0</v>
      </c>
      <c r="H21" s="4"/>
    </row>
    <row r="22" spans="1:8" x14ac:dyDescent="0.35">
      <c r="A22" s="20" t="s">
        <v>99</v>
      </c>
      <c r="B22" s="4" t="s">
        <v>102</v>
      </c>
      <c r="C22" s="4" t="s">
        <v>86</v>
      </c>
      <c r="D22" s="4" t="s">
        <v>86</v>
      </c>
      <c r="E22" s="4"/>
      <c r="F22" s="35" t="b">
        <v>0</v>
      </c>
      <c r="G22" s="35" t="b">
        <v>0</v>
      </c>
      <c r="H22" s="4"/>
    </row>
    <row r="23" spans="1:8" x14ac:dyDescent="0.35">
      <c r="A23" s="21" t="s">
        <v>104</v>
      </c>
      <c r="B23" s="4" t="s">
        <v>39</v>
      </c>
      <c r="C23" s="4" t="s">
        <v>24</v>
      </c>
      <c r="D23" s="4" t="s">
        <v>24</v>
      </c>
      <c r="E23" s="4"/>
      <c r="F23" s="35" t="b">
        <v>0</v>
      </c>
      <c r="G23" s="35" t="b">
        <v>0</v>
      </c>
      <c r="H23" s="4"/>
    </row>
    <row r="24" spans="1:8" x14ac:dyDescent="0.35">
      <c r="A24" s="21" t="s">
        <v>109</v>
      </c>
      <c r="B24" s="4" t="s">
        <v>22</v>
      </c>
      <c r="C24" s="4" t="s">
        <v>24</v>
      </c>
      <c r="D24" s="4" t="s">
        <v>13</v>
      </c>
      <c r="E24" s="4"/>
      <c r="F24" s="35" t="b">
        <v>0</v>
      </c>
      <c r="G24" s="35" t="b">
        <v>0</v>
      </c>
      <c r="H24" s="4"/>
    </row>
    <row r="25" spans="1:8" x14ac:dyDescent="0.35">
      <c r="A25" s="21" t="s">
        <v>112</v>
      </c>
      <c r="B25" s="4" t="s">
        <v>39</v>
      </c>
      <c r="C25" s="4" t="s">
        <v>24</v>
      </c>
      <c r="D25" s="4" t="s">
        <v>24</v>
      </c>
      <c r="E25" s="4"/>
      <c r="F25" s="35" t="b">
        <v>0</v>
      </c>
      <c r="G25" s="35" t="b">
        <v>0</v>
      </c>
      <c r="H25" s="4"/>
    </row>
    <row r="26" spans="1:8" x14ac:dyDescent="0.35">
      <c r="A26" s="21" t="s">
        <v>116</v>
      </c>
      <c r="B26" s="4" t="s">
        <v>44</v>
      </c>
      <c r="C26" s="4" t="s">
        <v>24</v>
      </c>
      <c r="D26" s="4" t="s">
        <v>24</v>
      </c>
      <c r="E26" s="4"/>
      <c r="F26" s="35" t="b">
        <v>0</v>
      </c>
      <c r="G26" s="35" t="b">
        <v>0</v>
      </c>
      <c r="H26" s="4"/>
    </row>
    <row r="27" spans="1:8" x14ac:dyDescent="0.35">
      <c r="A27" s="22" t="s">
        <v>120</v>
      </c>
      <c r="B27" s="4" t="s">
        <v>44</v>
      </c>
      <c r="C27" s="4" t="s">
        <v>123</v>
      </c>
      <c r="D27" s="4" t="s">
        <v>123</v>
      </c>
      <c r="E27" s="4"/>
      <c r="F27" s="35" t="b">
        <v>0</v>
      </c>
      <c r="G27" s="35" t="b">
        <v>0</v>
      </c>
      <c r="H27" s="4"/>
    </row>
    <row r="28" spans="1:8" x14ac:dyDescent="0.35">
      <c r="A28" s="22" t="s">
        <v>125</v>
      </c>
      <c r="B28" s="4" t="s">
        <v>17</v>
      </c>
      <c r="C28" s="4" t="s">
        <v>123</v>
      </c>
      <c r="D28" s="4" t="s">
        <v>13</v>
      </c>
      <c r="E28" s="4"/>
      <c r="F28" s="35" t="b">
        <v>0</v>
      </c>
      <c r="G28" s="35" t="b">
        <v>0</v>
      </c>
      <c r="H28" s="4"/>
    </row>
    <row r="29" spans="1:8" x14ac:dyDescent="0.35">
      <c r="A29" s="22" t="s">
        <v>128</v>
      </c>
      <c r="B29" s="4" t="s">
        <v>90</v>
      </c>
      <c r="C29" s="4" t="s">
        <v>123</v>
      </c>
      <c r="D29" s="4" t="s">
        <v>123</v>
      </c>
      <c r="E29" s="4"/>
      <c r="F29" s="35" t="b">
        <v>0</v>
      </c>
      <c r="G29" s="35" t="b">
        <v>0</v>
      </c>
      <c r="H29" s="4"/>
    </row>
    <row r="30" spans="1:8" x14ac:dyDescent="0.35">
      <c r="A30" s="22" t="s">
        <v>132</v>
      </c>
      <c r="B30" s="4" t="s">
        <v>134</v>
      </c>
      <c r="C30" s="4" t="s">
        <v>123</v>
      </c>
      <c r="D30" s="4" t="s">
        <v>24</v>
      </c>
      <c r="E30" s="4"/>
      <c r="F30" s="35" t="b">
        <v>0</v>
      </c>
      <c r="G30" s="35" t="b">
        <v>0</v>
      </c>
      <c r="H30" s="4"/>
    </row>
    <row r="50" spans="4:5" ht="34.5" x14ac:dyDescent="0.8">
      <c r="D50" s="30" t="s">
        <v>149</v>
      </c>
      <c r="E50" s="31" t="s">
        <v>13</v>
      </c>
    </row>
    <row r="51" spans="4:5" ht="34.5" x14ac:dyDescent="0.8">
      <c r="D51" s="30" t="s">
        <v>152</v>
      </c>
      <c r="E51" s="31" t="s">
        <v>36</v>
      </c>
    </row>
    <row r="52" spans="4:5" ht="34.5" x14ac:dyDescent="0.8">
      <c r="D52" s="30" t="s">
        <v>156</v>
      </c>
      <c r="E52" s="31" t="s">
        <v>54</v>
      </c>
    </row>
    <row r="53" spans="4:5" ht="34.5" x14ac:dyDescent="0.8">
      <c r="D53" s="30" t="s">
        <v>27</v>
      </c>
      <c r="E53" s="31" t="s">
        <v>75</v>
      </c>
    </row>
    <row r="54" spans="4:5" ht="34.5" x14ac:dyDescent="0.8">
      <c r="D54" s="30" t="s">
        <v>32</v>
      </c>
      <c r="E54" s="31" t="s">
        <v>86</v>
      </c>
    </row>
    <row r="55" spans="4:5" ht="34.5" x14ac:dyDescent="0.8">
      <c r="D55" s="30" t="s">
        <v>37</v>
      </c>
      <c r="E55" s="31" t="s">
        <v>24</v>
      </c>
    </row>
    <row r="56" spans="4:5" ht="34.5" x14ac:dyDescent="0.8">
      <c r="D56" s="30" t="s">
        <v>42</v>
      </c>
      <c r="E56" s="31" t="s">
        <v>123</v>
      </c>
    </row>
    <row r="57" spans="4:5" ht="31" x14ac:dyDescent="0.7">
      <c r="D57" s="30" t="s">
        <v>48</v>
      </c>
      <c r="E57" s="30" t="s">
        <v>104</v>
      </c>
    </row>
    <row r="58" spans="4:5" ht="31" x14ac:dyDescent="0.7">
      <c r="D58" s="30" t="s">
        <v>169</v>
      </c>
      <c r="E58" s="30" t="s">
        <v>174</v>
      </c>
    </row>
    <row r="59" spans="4:5" ht="31" x14ac:dyDescent="0.7">
      <c r="D59" s="30" t="s">
        <v>57</v>
      </c>
      <c r="E59" s="30" t="s">
        <v>175</v>
      </c>
    </row>
    <row r="60" spans="4:5" ht="31" x14ac:dyDescent="0.7">
      <c r="D60" s="30" t="s">
        <v>170</v>
      </c>
      <c r="E60" s="30" t="s">
        <v>176</v>
      </c>
    </row>
    <row r="61" spans="4:5" ht="31" x14ac:dyDescent="0.7">
      <c r="D61" s="30" t="s">
        <v>65</v>
      </c>
      <c r="E61" s="30" t="s">
        <v>120</v>
      </c>
    </row>
    <row r="62" spans="4:5" ht="31" x14ac:dyDescent="0.7">
      <c r="D62" s="30" t="s">
        <v>171</v>
      </c>
      <c r="E62" s="30" t="s">
        <v>177</v>
      </c>
    </row>
    <row r="63" spans="4:5" ht="31" x14ac:dyDescent="0.7">
      <c r="D63" s="30" t="s">
        <v>168</v>
      </c>
      <c r="E63" s="30" t="s">
        <v>178</v>
      </c>
    </row>
    <row r="64" spans="4:5" ht="31" x14ac:dyDescent="0.7">
      <c r="D64" s="30" t="s">
        <v>81</v>
      </c>
      <c r="E64" s="30" t="s">
        <v>179</v>
      </c>
    </row>
    <row r="65" spans="4:4" ht="31" x14ac:dyDescent="0.7">
      <c r="D65" s="30" t="s">
        <v>165</v>
      </c>
    </row>
    <row r="66" spans="4:4" ht="31" x14ac:dyDescent="0.7">
      <c r="D66" s="30" t="s">
        <v>85</v>
      </c>
    </row>
    <row r="67" spans="4:4" ht="31" x14ac:dyDescent="0.7">
      <c r="D67" s="30" t="s">
        <v>92</v>
      </c>
    </row>
    <row r="68" spans="4:4" ht="31" x14ac:dyDescent="0.7">
      <c r="D68" s="30" t="s">
        <v>172</v>
      </c>
    </row>
    <row r="69" spans="4:4" ht="31" x14ac:dyDescent="0.7">
      <c r="D69" s="30" t="s">
        <v>173</v>
      </c>
    </row>
    <row r="70" spans="4:4" ht="31" x14ac:dyDescent="0.7">
      <c r="D70" s="30"/>
    </row>
    <row r="71" spans="4:4" ht="31" x14ac:dyDescent="0.7">
      <c r="D71" s="30"/>
    </row>
    <row r="72" spans="4:4" ht="31" x14ac:dyDescent="0.7">
      <c r="D72" s="30"/>
    </row>
    <row r="73" spans="4:4" ht="31" x14ac:dyDescent="0.7">
      <c r="D73" s="30"/>
    </row>
    <row r="74" spans="4:4" ht="31" x14ac:dyDescent="0.7">
      <c r="D74" s="30"/>
    </row>
    <row r="75" spans="4:4" ht="31" x14ac:dyDescent="0.7">
      <c r="D75" s="30"/>
    </row>
    <row r="76" spans="4:4" ht="31" x14ac:dyDescent="0.7">
      <c r="D76" s="30"/>
    </row>
    <row r="77" spans="4:4" ht="31" x14ac:dyDescent="0.7">
      <c r="D77" s="30"/>
    </row>
  </sheetData>
  <mergeCells count="2">
    <mergeCell ref="F1:G1"/>
    <mergeCell ref="C1:D1"/>
  </mergeCells>
  <pageMargins left="0.22" right="0.1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A4B8-29D8-40D1-9E66-31A138009E7D}">
  <dimension ref="A1:X78"/>
  <sheetViews>
    <sheetView workbookViewId="0">
      <pane xSplit="2" topLeftCell="J1" activePane="topRight" state="frozen"/>
      <selection pane="topRight" activeCell="V3" sqref="V3:X32"/>
    </sheetView>
  </sheetViews>
  <sheetFormatPr baseColWidth="10" defaultRowHeight="14.5" x14ac:dyDescent="0.35"/>
  <cols>
    <col min="1" max="1" width="10.6328125" customWidth="1"/>
    <col min="2" max="2" width="6.90625" hidden="1" customWidth="1"/>
    <col min="3" max="3" width="19.81640625" customWidth="1"/>
    <col min="4" max="4" width="16.6328125" customWidth="1"/>
    <col min="5" max="5" width="24" customWidth="1"/>
    <col min="6" max="6" width="32.90625" customWidth="1"/>
    <col min="7" max="7" width="16" customWidth="1"/>
    <col min="8" max="8" width="15.08984375" customWidth="1"/>
    <col min="9" max="9" width="35.54296875" customWidth="1"/>
    <col min="10" max="10" width="38.81640625" customWidth="1"/>
    <col min="12" max="12" width="15.54296875" customWidth="1"/>
    <col min="14" max="14" width="23.6328125" customWidth="1"/>
    <col min="15" max="15" width="18" customWidth="1"/>
    <col min="17" max="17" width="23.08984375" customWidth="1"/>
    <col min="18" max="18" width="28" customWidth="1"/>
    <col min="20" max="20" width="14.36328125" customWidth="1"/>
    <col min="21" max="21" width="36.81640625" customWidth="1"/>
    <col min="22" max="22" width="16.6328125" customWidth="1"/>
  </cols>
  <sheetData>
    <row r="1" spans="1:24" x14ac:dyDescent="0.35">
      <c r="F1" s="97" t="s">
        <v>195</v>
      </c>
      <c r="G1" s="97"/>
      <c r="H1" s="97"/>
      <c r="I1" s="97"/>
      <c r="J1" s="98" t="s">
        <v>196</v>
      </c>
      <c r="K1" s="98"/>
      <c r="L1" s="98"/>
      <c r="M1" s="98"/>
      <c r="N1" s="96" t="s">
        <v>202</v>
      </c>
      <c r="O1" s="96"/>
      <c r="P1" s="96"/>
      <c r="Q1" s="96"/>
      <c r="R1" s="95" t="s">
        <v>211</v>
      </c>
      <c r="S1" s="95"/>
      <c r="T1" s="95"/>
      <c r="U1" s="95"/>
      <c r="V1" s="4" t="s">
        <v>219</v>
      </c>
      <c r="W1" s="4">
        <v>4</v>
      </c>
      <c r="X1" s="4"/>
    </row>
    <row r="2" spans="1:24" ht="16" x14ac:dyDescent="0.4">
      <c r="A2" s="24" t="s">
        <v>180</v>
      </c>
      <c r="B2" s="25" t="s">
        <v>3</v>
      </c>
      <c r="C2" s="91" t="s">
        <v>148</v>
      </c>
      <c r="D2" s="92"/>
      <c r="E2" s="37"/>
      <c r="F2" s="25" t="s">
        <v>8</v>
      </c>
      <c r="G2" s="93" t="s">
        <v>142</v>
      </c>
      <c r="H2" s="94"/>
      <c r="I2" s="25" t="s">
        <v>143</v>
      </c>
      <c r="J2" s="25" t="s">
        <v>8</v>
      </c>
      <c r="K2" s="93" t="s">
        <v>142</v>
      </c>
      <c r="L2" s="94"/>
      <c r="M2" s="25" t="s">
        <v>143</v>
      </c>
      <c r="N2" s="25" t="s">
        <v>8</v>
      </c>
      <c r="O2" s="93" t="s">
        <v>142</v>
      </c>
      <c r="P2" s="94"/>
      <c r="Q2" s="25" t="s">
        <v>143</v>
      </c>
      <c r="R2" s="25" t="s">
        <v>8</v>
      </c>
      <c r="S2" s="93" t="s">
        <v>142</v>
      </c>
      <c r="T2" s="94"/>
      <c r="U2" s="41" t="s">
        <v>143</v>
      </c>
      <c r="V2" s="4"/>
      <c r="W2" s="4"/>
      <c r="X2" s="4"/>
    </row>
    <row r="3" spans="1:24" s="28" customFormat="1" ht="16" x14ac:dyDescent="0.4">
      <c r="A3" s="26"/>
      <c r="B3" s="27"/>
      <c r="C3" s="29" t="s">
        <v>146</v>
      </c>
      <c r="D3" s="29" t="s">
        <v>147</v>
      </c>
      <c r="E3" s="29"/>
      <c r="F3" s="27"/>
      <c r="G3" s="27" t="s">
        <v>144</v>
      </c>
      <c r="H3" s="27" t="s">
        <v>145</v>
      </c>
      <c r="I3" s="27"/>
      <c r="J3" s="27"/>
      <c r="K3" s="27" t="s">
        <v>144</v>
      </c>
      <c r="L3" s="27" t="s">
        <v>145</v>
      </c>
      <c r="M3" s="27"/>
      <c r="N3" s="27"/>
      <c r="O3" s="27" t="s">
        <v>144</v>
      </c>
      <c r="P3" s="27" t="s">
        <v>145</v>
      </c>
      <c r="Q3" s="27"/>
      <c r="R3" s="27"/>
      <c r="S3" s="27" t="s">
        <v>144</v>
      </c>
      <c r="T3" s="27" t="s">
        <v>145</v>
      </c>
      <c r="U3" s="42"/>
      <c r="V3" s="44" t="s">
        <v>220</v>
      </c>
      <c r="W3" s="44" t="s">
        <v>221</v>
      </c>
      <c r="X3" s="44"/>
    </row>
    <row r="4" spans="1:24" x14ac:dyDescent="0.35">
      <c r="A4" s="12" t="s">
        <v>149</v>
      </c>
      <c r="B4" s="4" t="s">
        <v>39</v>
      </c>
      <c r="C4" t="s">
        <v>13</v>
      </c>
      <c r="D4" s="4" t="s">
        <v>13</v>
      </c>
      <c r="E4" s="4" t="s">
        <v>205</v>
      </c>
      <c r="F4" s="5" t="s">
        <v>181</v>
      </c>
      <c r="G4" s="23" t="b">
        <v>1</v>
      </c>
      <c r="H4" s="23" t="b">
        <v>0</v>
      </c>
      <c r="I4" s="4"/>
      <c r="J4" s="5"/>
      <c r="K4" s="23" t="b">
        <v>1</v>
      </c>
      <c r="L4" s="23" t="b">
        <v>0</v>
      </c>
      <c r="M4" s="4"/>
      <c r="N4" s="5"/>
      <c r="O4" s="23" t="b">
        <v>1</v>
      </c>
      <c r="P4" s="23" t="b">
        <v>0</v>
      </c>
      <c r="Q4" s="4"/>
      <c r="R4" s="5"/>
      <c r="S4" s="23" t="b">
        <v>1</v>
      </c>
      <c r="T4" s="23" t="b">
        <v>0</v>
      </c>
      <c r="U4" s="43"/>
      <c r="V4" s="4">
        <v>4</v>
      </c>
      <c r="W4" s="4">
        <f>+(V4/$W$1)*100</f>
        <v>100</v>
      </c>
      <c r="X4" s="4"/>
    </row>
    <row r="5" spans="1:24" x14ac:dyDescent="0.35">
      <c r="A5" s="12" t="s">
        <v>152</v>
      </c>
      <c r="B5" s="4" t="s">
        <v>22</v>
      </c>
      <c r="C5" s="4" t="s">
        <v>13</v>
      </c>
      <c r="D5" s="4" t="s">
        <v>13</v>
      </c>
      <c r="E5" s="4" t="s">
        <v>204</v>
      </c>
      <c r="F5" s="4" t="s">
        <v>182</v>
      </c>
      <c r="G5" s="35" t="b">
        <v>0</v>
      </c>
      <c r="H5" s="35" t="b">
        <v>1</v>
      </c>
      <c r="I5" s="4" t="s">
        <v>24</v>
      </c>
      <c r="J5" s="4" t="s">
        <v>49</v>
      </c>
      <c r="K5" s="35" t="b">
        <v>0</v>
      </c>
      <c r="L5" s="35" t="b">
        <v>1</v>
      </c>
      <c r="M5" s="4"/>
      <c r="N5" s="4"/>
      <c r="O5" s="35" t="b">
        <v>0</v>
      </c>
      <c r="P5" s="35" t="b">
        <v>1</v>
      </c>
      <c r="Q5" s="4" t="s">
        <v>203</v>
      </c>
      <c r="R5" s="4"/>
      <c r="S5" s="35" t="b">
        <v>1</v>
      </c>
      <c r="T5" s="35" t="b">
        <v>0</v>
      </c>
      <c r="U5" s="43"/>
      <c r="V5" s="4">
        <v>1</v>
      </c>
      <c r="W5" s="4">
        <f t="shared" ref="W5:W31" si="0">+(V5/$W$1)*100</f>
        <v>25</v>
      </c>
      <c r="X5" s="4"/>
    </row>
    <row r="6" spans="1:24" x14ac:dyDescent="0.35">
      <c r="A6" s="45" t="s">
        <v>156</v>
      </c>
      <c r="B6" s="46" t="s">
        <v>22</v>
      </c>
      <c r="C6" s="46" t="s">
        <v>160</v>
      </c>
      <c r="D6" s="46" t="s">
        <v>161</v>
      </c>
      <c r="E6" s="46"/>
      <c r="F6" s="46" t="s">
        <v>183</v>
      </c>
      <c r="G6" s="47" t="b">
        <v>0</v>
      </c>
      <c r="H6" s="47" t="b">
        <v>1</v>
      </c>
      <c r="I6" s="46"/>
      <c r="J6" s="46" t="s">
        <v>24</v>
      </c>
      <c r="K6" s="47" t="b">
        <v>0</v>
      </c>
      <c r="L6" s="47" t="b">
        <v>1</v>
      </c>
      <c r="M6" s="46"/>
      <c r="N6" s="46"/>
      <c r="O6" s="47" t="b">
        <v>1</v>
      </c>
      <c r="P6" s="47" t="b">
        <v>0</v>
      </c>
      <c r="Q6" s="46"/>
      <c r="R6" s="46"/>
      <c r="S6" s="47" t="b">
        <v>1</v>
      </c>
      <c r="T6" s="47" t="b">
        <v>0</v>
      </c>
      <c r="U6" s="48"/>
      <c r="V6" s="46">
        <v>2</v>
      </c>
      <c r="W6" s="46">
        <f t="shared" si="0"/>
        <v>50</v>
      </c>
      <c r="X6" s="46"/>
    </row>
    <row r="7" spans="1:24" s="57" customFormat="1" ht="15" thickBot="1" x14ac:dyDescent="0.4">
      <c r="A7" s="53" t="s">
        <v>27</v>
      </c>
      <c r="B7" s="54" t="s">
        <v>17</v>
      </c>
      <c r="C7" s="54" t="s">
        <v>13</v>
      </c>
      <c r="D7" s="54" t="s">
        <v>13</v>
      </c>
      <c r="E7" s="54" t="s">
        <v>206</v>
      </c>
      <c r="F7" s="54" t="s">
        <v>12</v>
      </c>
      <c r="G7" s="55" t="b">
        <v>1</v>
      </c>
      <c r="H7" s="55" t="b">
        <v>0</v>
      </c>
      <c r="I7" s="54"/>
      <c r="J7" s="54"/>
      <c r="K7" s="55" t="b">
        <v>1</v>
      </c>
      <c r="L7" s="55" t="b">
        <v>0</v>
      </c>
      <c r="M7" s="54"/>
      <c r="N7" s="54"/>
      <c r="O7" s="55" t="b">
        <v>0</v>
      </c>
      <c r="P7" s="55" t="b">
        <v>1</v>
      </c>
      <c r="Q7" s="54" t="s">
        <v>36</v>
      </c>
      <c r="R7" s="54"/>
      <c r="S7" s="55" t="b">
        <v>1</v>
      </c>
      <c r="T7" s="55" t="b">
        <v>0</v>
      </c>
      <c r="U7" s="56"/>
      <c r="V7" s="54">
        <v>3</v>
      </c>
      <c r="W7" s="54">
        <f t="shared" si="0"/>
        <v>75</v>
      </c>
      <c r="X7" s="54">
        <f>+AVERAGE(W4:W7)</f>
        <v>62.5</v>
      </c>
    </row>
    <row r="8" spans="1:24" x14ac:dyDescent="0.35">
      <c r="A8" s="49" t="s">
        <v>32</v>
      </c>
      <c r="B8" s="50" t="s">
        <v>34</v>
      </c>
      <c r="C8" s="50" t="s">
        <v>36</v>
      </c>
      <c r="D8" s="50" t="s">
        <v>36</v>
      </c>
      <c r="E8" s="50"/>
      <c r="F8" s="50"/>
      <c r="G8" s="51" t="b">
        <v>1</v>
      </c>
      <c r="H8" s="51" t="b">
        <v>0</v>
      </c>
      <c r="I8" s="50"/>
      <c r="J8" s="50"/>
      <c r="K8" s="51" t="b">
        <v>1</v>
      </c>
      <c r="L8" s="51" t="b">
        <v>0</v>
      </c>
      <c r="M8" s="50"/>
      <c r="N8" s="50"/>
      <c r="O8" s="51" t="b">
        <v>1</v>
      </c>
      <c r="P8" s="51" t="b">
        <v>0</v>
      </c>
      <c r="Q8" s="50"/>
      <c r="R8" s="50"/>
      <c r="S8" s="51" t="b">
        <v>1</v>
      </c>
      <c r="T8" s="51" t="b">
        <v>0</v>
      </c>
      <c r="U8" s="52"/>
      <c r="V8" s="50">
        <v>4</v>
      </c>
      <c r="W8" s="50">
        <f t="shared" si="0"/>
        <v>100</v>
      </c>
      <c r="X8" s="50"/>
    </row>
    <row r="9" spans="1:24" x14ac:dyDescent="0.35">
      <c r="A9" s="18" t="s">
        <v>37</v>
      </c>
      <c r="B9" s="4" t="s">
        <v>39</v>
      </c>
      <c r="C9" s="4" t="s">
        <v>36</v>
      </c>
      <c r="D9" s="4" t="s">
        <v>36</v>
      </c>
      <c r="E9" s="4"/>
      <c r="F9" s="4" t="s">
        <v>184</v>
      </c>
      <c r="G9" s="35" t="b">
        <v>0</v>
      </c>
      <c r="H9" s="35" t="b">
        <v>1</v>
      </c>
      <c r="I9" s="4"/>
      <c r="J9" s="4" t="s">
        <v>24</v>
      </c>
      <c r="K9" s="35" t="b">
        <v>0</v>
      </c>
      <c r="L9" s="35" t="b">
        <v>1</v>
      </c>
      <c r="M9" s="4"/>
      <c r="N9" s="4"/>
      <c r="O9" s="35" t="b">
        <v>1</v>
      </c>
      <c r="P9" s="35" t="b">
        <v>0</v>
      </c>
      <c r="Q9" s="4"/>
      <c r="R9" s="4"/>
      <c r="S9" s="35" t="b">
        <v>0</v>
      </c>
      <c r="T9" s="35" t="b">
        <v>1</v>
      </c>
      <c r="U9" s="43" t="s">
        <v>13</v>
      </c>
      <c r="V9" s="4">
        <v>1</v>
      </c>
      <c r="W9" s="4">
        <f t="shared" si="0"/>
        <v>25</v>
      </c>
      <c r="X9" s="4"/>
    </row>
    <row r="10" spans="1:24" x14ac:dyDescent="0.35">
      <c r="A10" s="58" t="s">
        <v>42</v>
      </c>
      <c r="B10" s="46" t="s">
        <v>44</v>
      </c>
      <c r="C10" s="46" t="s">
        <v>36</v>
      </c>
      <c r="D10" s="46" t="s">
        <v>13</v>
      </c>
      <c r="E10" s="46"/>
      <c r="F10" s="46" t="s">
        <v>185</v>
      </c>
      <c r="G10" s="47" t="b">
        <v>0</v>
      </c>
      <c r="H10" s="47" t="b">
        <v>1</v>
      </c>
      <c r="I10" s="46" t="s">
        <v>86</v>
      </c>
      <c r="J10" s="46" t="s">
        <v>36</v>
      </c>
      <c r="K10" s="47" t="b">
        <v>1</v>
      </c>
      <c r="L10" s="47" t="b">
        <v>0</v>
      </c>
      <c r="M10" s="46"/>
      <c r="N10" s="46"/>
      <c r="O10" s="47" t="b">
        <v>1</v>
      </c>
      <c r="P10" s="47" t="b">
        <v>0</v>
      </c>
      <c r="Q10" s="46"/>
      <c r="R10" s="46"/>
      <c r="S10" s="47" t="b">
        <v>0</v>
      </c>
      <c r="T10" s="47" t="b">
        <v>1</v>
      </c>
      <c r="U10" s="48" t="s">
        <v>212</v>
      </c>
      <c r="V10" s="46">
        <v>2</v>
      </c>
      <c r="W10" s="46">
        <f t="shared" si="0"/>
        <v>50</v>
      </c>
      <c r="X10" s="46"/>
    </row>
    <row r="11" spans="1:24" s="57" customFormat="1" ht="15" thickBot="1" x14ac:dyDescent="0.4">
      <c r="A11" s="60" t="s">
        <v>48</v>
      </c>
      <c r="B11" s="54" t="s">
        <v>10</v>
      </c>
      <c r="C11" s="54" t="s">
        <v>36</v>
      </c>
      <c r="D11" s="54" t="s">
        <v>13</v>
      </c>
      <c r="E11" s="54"/>
      <c r="F11" s="54" t="s">
        <v>186</v>
      </c>
      <c r="G11" s="55" t="b">
        <v>0</v>
      </c>
      <c r="H11" s="55" t="b">
        <v>1</v>
      </c>
      <c r="I11" s="54" t="s">
        <v>54</v>
      </c>
      <c r="J11" s="54" t="s">
        <v>12</v>
      </c>
      <c r="K11" s="55" t="b">
        <v>0</v>
      </c>
      <c r="L11" s="55" t="b">
        <v>1</v>
      </c>
      <c r="M11" s="54"/>
      <c r="N11" s="54"/>
      <c r="O11" s="55" t="b">
        <v>1</v>
      </c>
      <c r="P11" s="55" t="b">
        <v>0</v>
      </c>
      <c r="Q11" s="54"/>
      <c r="R11" s="54"/>
      <c r="S11" s="55" t="b">
        <v>0</v>
      </c>
      <c r="T11" s="55" t="b">
        <v>1</v>
      </c>
      <c r="U11" s="56" t="s">
        <v>213</v>
      </c>
      <c r="V11" s="54">
        <v>1</v>
      </c>
      <c r="W11" s="54">
        <f t="shared" si="0"/>
        <v>25</v>
      </c>
      <c r="X11" s="54">
        <f>+AVERAGE(W8:W11)</f>
        <v>50</v>
      </c>
    </row>
    <row r="12" spans="1:24" x14ac:dyDescent="0.35">
      <c r="A12" s="59" t="s">
        <v>50</v>
      </c>
      <c r="B12" s="50" t="s">
        <v>52</v>
      </c>
      <c r="C12" s="50" t="s">
        <v>54</v>
      </c>
      <c r="D12" s="50" t="s">
        <v>54</v>
      </c>
      <c r="E12" s="50"/>
      <c r="F12" s="50" t="s">
        <v>187</v>
      </c>
      <c r="G12" s="51" t="b">
        <v>0</v>
      </c>
      <c r="H12" s="51" t="b">
        <v>1</v>
      </c>
      <c r="I12" s="50"/>
      <c r="J12" s="50" t="s">
        <v>197</v>
      </c>
      <c r="K12" s="51" t="b">
        <v>0</v>
      </c>
      <c r="L12" s="51" t="b">
        <v>1</v>
      </c>
      <c r="M12" s="50"/>
      <c r="N12" s="50"/>
      <c r="O12" s="51" t="b">
        <v>1</v>
      </c>
      <c r="P12" s="51" t="b">
        <v>0</v>
      </c>
      <c r="Q12" s="50"/>
      <c r="R12" s="50"/>
      <c r="S12" s="51" t="b">
        <v>1</v>
      </c>
      <c r="T12" s="51" t="b">
        <v>0</v>
      </c>
      <c r="U12" s="52"/>
      <c r="V12" s="50">
        <v>2</v>
      </c>
      <c r="W12" s="50">
        <f t="shared" si="0"/>
        <v>50</v>
      </c>
      <c r="X12" s="50"/>
    </row>
    <row r="13" spans="1:24" x14ac:dyDescent="0.35">
      <c r="A13" s="15" t="s">
        <v>57</v>
      </c>
      <c r="B13" s="14" t="s">
        <v>10</v>
      </c>
      <c r="C13" s="4" t="s">
        <v>54</v>
      </c>
      <c r="D13" s="4" t="s">
        <v>54</v>
      </c>
      <c r="E13" s="4"/>
      <c r="F13" s="4"/>
      <c r="G13" s="35" t="b">
        <v>1</v>
      </c>
      <c r="H13" s="35" t="b">
        <v>0</v>
      </c>
      <c r="I13" s="4"/>
      <c r="J13" s="4" t="s">
        <v>197</v>
      </c>
      <c r="K13" s="35" t="b">
        <v>0</v>
      </c>
      <c r="L13" s="35" t="b">
        <v>1</v>
      </c>
      <c r="M13" s="4"/>
      <c r="N13" s="4"/>
      <c r="O13" s="35" t="b">
        <v>1</v>
      </c>
      <c r="P13" s="35" t="b">
        <v>0</v>
      </c>
      <c r="Q13" s="4"/>
      <c r="R13" s="4"/>
      <c r="S13" s="35" t="b">
        <v>1</v>
      </c>
      <c r="T13" s="35" t="b">
        <v>0</v>
      </c>
      <c r="U13" s="43" t="s">
        <v>36</v>
      </c>
      <c r="V13" s="4">
        <v>3</v>
      </c>
      <c r="W13" s="4">
        <f t="shared" si="0"/>
        <v>75</v>
      </c>
      <c r="X13" s="4"/>
    </row>
    <row r="14" spans="1:24" x14ac:dyDescent="0.35">
      <c r="A14" s="61" t="s">
        <v>60</v>
      </c>
      <c r="B14" s="46" t="s">
        <v>22</v>
      </c>
      <c r="C14" s="46" t="s">
        <v>54</v>
      </c>
      <c r="D14" s="46" t="s">
        <v>13</v>
      </c>
      <c r="E14" s="46"/>
      <c r="F14" s="46" t="s">
        <v>188</v>
      </c>
      <c r="G14" s="47" t="b">
        <v>0</v>
      </c>
      <c r="H14" s="47" t="b">
        <v>1</v>
      </c>
      <c r="I14" s="46"/>
      <c r="J14" s="46" t="s">
        <v>12</v>
      </c>
      <c r="K14" s="47" t="b">
        <v>0</v>
      </c>
      <c r="L14" s="47" t="b">
        <v>1</v>
      </c>
      <c r="M14" s="46"/>
      <c r="N14" s="46"/>
      <c r="O14" s="47" t="b">
        <v>1</v>
      </c>
      <c r="P14" s="47" t="b">
        <v>0</v>
      </c>
      <c r="Q14" s="46"/>
      <c r="R14" s="46"/>
      <c r="S14" s="47" t="b">
        <v>1</v>
      </c>
      <c r="T14" s="47" t="b">
        <v>0</v>
      </c>
      <c r="U14" s="48"/>
      <c r="V14" s="46">
        <v>2</v>
      </c>
      <c r="W14" s="46">
        <f t="shared" si="0"/>
        <v>50</v>
      </c>
      <c r="X14" s="46"/>
    </row>
    <row r="15" spans="1:24" s="57" customFormat="1" ht="15" thickBot="1" x14ac:dyDescent="0.4">
      <c r="A15" s="63" t="s">
        <v>65</v>
      </c>
      <c r="B15" s="54" t="s">
        <v>67</v>
      </c>
      <c r="C15" s="54" t="s">
        <v>54</v>
      </c>
      <c r="D15" s="54" t="s">
        <v>54</v>
      </c>
      <c r="E15" s="54"/>
      <c r="F15" s="54"/>
      <c r="G15" s="55" t="b">
        <v>0</v>
      </c>
      <c r="H15" s="55" t="b">
        <v>1</v>
      </c>
      <c r="I15" s="54" t="s">
        <v>189</v>
      </c>
      <c r="J15" s="54" t="s">
        <v>12</v>
      </c>
      <c r="K15" s="55" t="b">
        <v>0</v>
      </c>
      <c r="L15" s="55" t="b">
        <v>1</v>
      </c>
      <c r="M15" s="54"/>
      <c r="N15" s="54"/>
      <c r="O15" s="55" t="b">
        <v>1</v>
      </c>
      <c r="P15" s="55" t="b">
        <v>0</v>
      </c>
      <c r="Q15" s="54"/>
      <c r="R15" s="54"/>
      <c r="S15" s="55" t="b">
        <v>1</v>
      </c>
      <c r="T15" s="55" t="b">
        <v>0</v>
      </c>
      <c r="U15" s="56"/>
      <c r="V15" s="54">
        <v>2</v>
      </c>
      <c r="W15" s="54">
        <f t="shared" si="0"/>
        <v>50</v>
      </c>
      <c r="X15" s="54">
        <f>+AVERAGE(W12:W15)</f>
        <v>56.25</v>
      </c>
    </row>
    <row r="16" spans="1:24" x14ac:dyDescent="0.35">
      <c r="A16" s="62" t="s">
        <v>72</v>
      </c>
      <c r="B16" s="50" t="s">
        <v>44</v>
      </c>
      <c r="C16" s="50" t="s">
        <v>75</v>
      </c>
      <c r="D16" s="50" t="s">
        <v>75</v>
      </c>
      <c r="E16" s="50"/>
      <c r="F16" s="50"/>
      <c r="G16" s="51" t="b">
        <v>1</v>
      </c>
      <c r="H16" s="51" t="b">
        <v>0</v>
      </c>
      <c r="I16" s="50"/>
      <c r="J16" s="50"/>
      <c r="K16" s="51" t="b">
        <v>1</v>
      </c>
      <c r="L16" s="51" t="b">
        <v>0</v>
      </c>
      <c r="M16" s="50"/>
      <c r="N16" s="50"/>
      <c r="O16" s="51" t="b">
        <v>1</v>
      </c>
      <c r="P16" s="51" t="b">
        <v>0</v>
      </c>
      <c r="Q16" s="50"/>
      <c r="R16" s="50"/>
      <c r="S16" s="51" t="b">
        <v>1</v>
      </c>
      <c r="T16" s="51" t="b">
        <v>0</v>
      </c>
      <c r="U16" s="52"/>
      <c r="V16" s="50">
        <v>4</v>
      </c>
      <c r="W16" s="50">
        <f t="shared" si="0"/>
        <v>100</v>
      </c>
      <c r="X16" s="50"/>
    </row>
    <row r="17" spans="1:24" x14ac:dyDescent="0.35">
      <c r="A17" s="19" t="s">
        <v>162</v>
      </c>
      <c r="B17" s="4" t="s">
        <v>67</v>
      </c>
      <c r="C17" s="4" t="s">
        <v>75</v>
      </c>
      <c r="D17" s="4" t="s">
        <v>75</v>
      </c>
      <c r="E17" s="4"/>
      <c r="F17" s="4"/>
      <c r="G17" s="35" t="b">
        <v>0</v>
      </c>
      <c r="H17" s="35" t="b">
        <v>1</v>
      </c>
      <c r="I17" s="4" t="s">
        <v>54</v>
      </c>
      <c r="J17" s="4" t="s">
        <v>198</v>
      </c>
      <c r="K17" s="35" t="b">
        <v>0</v>
      </c>
      <c r="L17" s="35" t="b">
        <v>1</v>
      </c>
      <c r="M17" s="4"/>
      <c r="N17" s="4"/>
      <c r="O17" s="35" t="b">
        <v>1</v>
      </c>
      <c r="P17" s="35" t="b">
        <v>0</v>
      </c>
      <c r="Q17" s="4"/>
      <c r="R17" s="4"/>
      <c r="S17" s="35" t="b">
        <v>0</v>
      </c>
      <c r="T17" s="35" t="b">
        <v>1</v>
      </c>
      <c r="U17" s="43" t="s">
        <v>214</v>
      </c>
      <c r="V17" s="4">
        <v>1</v>
      </c>
      <c r="W17" s="4">
        <f t="shared" si="0"/>
        <v>25</v>
      </c>
      <c r="X17" s="4"/>
    </row>
    <row r="18" spans="1:24" x14ac:dyDescent="0.35">
      <c r="A18" s="64" t="s">
        <v>81</v>
      </c>
      <c r="B18" s="46" t="s">
        <v>39</v>
      </c>
      <c r="C18" s="46" t="s">
        <v>75</v>
      </c>
      <c r="D18" s="46" t="s">
        <v>54</v>
      </c>
      <c r="E18" s="46"/>
      <c r="F18" s="46"/>
      <c r="G18" s="47" t="b">
        <v>0</v>
      </c>
      <c r="H18" s="47" t="b">
        <v>1</v>
      </c>
      <c r="I18" s="46" t="s">
        <v>190</v>
      </c>
      <c r="J18" s="46" t="s">
        <v>199</v>
      </c>
      <c r="K18" s="47" t="b">
        <v>1</v>
      </c>
      <c r="L18" s="47" t="b">
        <v>0</v>
      </c>
      <c r="M18" s="46"/>
      <c r="N18" s="46"/>
      <c r="O18" s="47" t="b">
        <v>1</v>
      </c>
      <c r="P18" s="47" t="b">
        <v>0</v>
      </c>
      <c r="Q18" s="46"/>
      <c r="R18" s="46"/>
      <c r="S18" s="47" t="b">
        <v>1</v>
      </c>
      <c r="T18" s="47" t="b">
        <v>0</v>
      </c>
      <c r="U18" s="48"/>
      <c r="V18" s="46">
        <v>3</v>
      </c>
      <c r="W18" s="46">
        <f t="shared" si="0"/>
        <v>75</v>
      </c>
      <c r="X18" s="46"/>
    </row>
    <row r="19" spans="1:24" s="57" customFormat="1" ht="15" thickBot="1" x14ac:dyDescent="0.4">
      <c r="A19" s="66" t="s">
        <v>165</v>
      </c>
      <c r="B19" s="54" t="s">
        <v>22</v>
      </c>
      <c r="C19" s="54" t="s">
        <v>75</v>
      </c>
      <c r="D19" s="54" t="s">
        <v>75</v>
      </c>
      <c r="E19" s="54"/>
      <c r="F19" s="54"/>
      <c r="G19" s="55" t="b">
        <v>0</v>
      </c>
      <c r="H19" s="55" t="b">
        <v>1</v>
      </c>
      <c r="I19" s="54"/>
      <c r="J19" s="54"/>
      <c r="K19" s="55" t="b">
        <v>1</v>
      </c>
      <c r="L19" s="55" t="b">
        <v>0</v>
      </c>
      <c r="M19" s="54"/>
      <c r="N19" s="54"/>
      <c r="O19" s="55" t="b">
        <v>1</v>
      </c>
      <c r="P19" s="55" t="b">
        <v>0</v>
      </c>
      <c r="Q19" s="54"/>
      <c r="R19" s="54"/>
      <c r="S19" s="55" t="b">
        <v>0</v>
      </c>
      <c r="T19" s="55" t="b">
        <v>1</v>
      </c>
      <c r="U19" s="56" t="s">
        <v>215</v>
      </c>
      <c r="V19" s="54">
        <v>2</v>
      </c>
      <c r="W19" s="54">
        <f t="shared" si="0"/>
        <v>50</v>
      </c>
      <c r="X19" s="54">
        <f>+AVERAGE(W16:W19)</f>
        <v>62.5</v>
      </c>
    </row>
    <row r="20" spans="1:24" x14ac:dyDescent="0.35">
      <c r="A20" s="65" t="s">
        <v>85</v>
      </c>
      <c r="B20" s="50" t="s">
        <v>90</v>
      </c>
      <c r="C20" s="50" t="s">
        <v>86</v>
      </c>
      <c r="D20" s="50" t="s">
        <v>86</v>
      </c>
      <c r="E20" s="50"/>
      <c r="F20" s="50"/>
      <c r="G20" s="51" t="b">
        <v>0</v>
      </c>
      <c r="H20" s="51" t="b">
        <v>1</v>
      </c>
      <c r="I20" s="50" t="s">
        <v>24</v>
      </c>
      <c r="J20" s="50"/>
      <c r="K20" s="51" t="b">
        <v>1</v>
      </c>
      <c r="L20" s="51" t="b">
        <v>0</v>
      </c>
      <c r="M20" s="50"/>
      <c r="N20" s="50"/>
      <c r="O20" s="51" t="b">
        <v>1</v>
      </c>
      <c r="P20" s="51" t="b">
        <v>0</v>
      </c>
      <c r="Q20" s="50"/>
      <c r="R20" s="50"/>
      <c r="S20" s="51" t="b">
        <v>1</v>
      </c>
      <c r="T20" s="51" t="b">
        <v>0</v>
      </c>
      <c r="U20" s="52" t="s">
        <v>13</v>
      </c>
      <c r="V20" s="50">
        <v>3</v>
      </c>
      <c r="W20" s="50">
        <f t="shared" si="0"/>
        <v>75</v>
      </c>
      <c r="X20" s="50"/>
    </row>
    <row r="21" spans="1:24" x14ac:dyDescent="0.35">
      <c r="A21" s="20" t="s">
        <v>92</v>
      </c>
      <c r="B21" s="14" t="s">
        <v>67</v>
      </c>
      <c r="C21" s="4" t="s">
        <v>86</v>
      </c>
      <c r="D21" s="4" t="s">
        <v>13</v>
      </c>
      <c r="E21" s="4"/>
      <c r="F21" s="4"/>
      <c r="G21" s="35" t="b">
        <v>1</v>
      </c>
      <c r="H21" s="35" t="b">
        <v>0</v>
      </c>
      <c r="I21" s="4"/>
      <c r="J21" s="4" t="s">
        <v>12</v>
      </c>
      <c r="K21" s="35" t="b">
        <v>0</v>
      </c>
      <c r="L21" s="35" t="b">
        <v>1</v>
      </c>
      <c r="M21" s="4"/>
      <c r="N21" s="4"/>
      <c r="O21" s="35" t="b">
        <v>1</v>
      </c>
      <c r="P21" s="35" t="b">
        <v>0</v>
      </c>
      <c r="Q21" s="4"/>
      <c r="R21" s="4"/>
      <c r="S21" s="35" t="b">
        <v>0</v>
      </c>
      <c r="T21" s="35" t="b">
        <v>1</v>
      </c>
      <c r="U21" s="43" t="s">
        <v>216</v>
      </c>
      <c r="V21" s="4">
        <v>2</v>
      </c>
      <c r="W21" s="4">
        <f t="shared" si="0"/>
        <v>50</v>
      </c>
      <c r="X21" s="4"/>
    </row>
    <row r="22" spans="1:24" x14ac:dyDescent="0.35">
      <c r="A22" s="67" t="s">
        <v>95</v>
      </c>
      <c r="B22" s="46" t="s">
        <v>97</v>
      </c>
      <c r="C22" s="46" t="s">
        <v>86</v>
      </c>
      <c r="D22" s="46" t="s">
        <v>86</v>
      </c>
      <c r="E22" s="46"/>
      <c r="F22" s="46" t="s">
        <v>191</v>
      </c>
      <c r="G22" s="47" t="b">
        <v>1</v>
      </c>
      <c r="H22" s="47" t="b">
        <v>0</v>
      </c>
      <c r="I22" s="46"/>
      <c r="J22" s="46" t="s">
        <v>200</v>
      </c>
      <c r="K22" s="47" t="b">
        <v>1</v>
      </c>
      <c r="L22" s="47" t="b">
        <v>0</v>
      </c>
      <c r="M22" s="46"/>
      <c r="N22" s="46"/>
      <c r="O22" s="47" t="b">
        <v>0</v>
      </c>
      <c r="P22" s="47" t="b">
        <v>1</v>
      </c>
      <c r="Q22" s="46" t="s">
        <v>24</v>
      </c>
      <c r="R22" s="46"/>
      <c r="S22" s="47" t="b">
        <v>0</v>
      </c>
      <c r="T22" s="47" t="b">
        <v>1</v>
      </c>
      <c r="U22" s="48" t="s">
        <v>24</v>
      </c>
      <c r="V22" s="46">
        <v>2</v>
      </c>
      <c r="W22" s="46">
        <f t="shared" si="0"/>
        <v>50</v>
      </c>
      <c r="X22" s="46"/>
    </row>
    <row r="23" spans="1:24" s="57" customFormat="1" ht="15" thickBot="1" x14ac:dyDescent="0.4">
      <c r="A23" s="69" t="s">
        <v>99</v>
      </c>
      <c r="B23" s="54" t="s">
        <v>102</v>
      </c>
      <c r="C23" s="54" t="s">
        <v>86</v>
      </c>
      <c r="D23" s="54" t="s">
        <v>86</v>
      </c>
      <c r="E23" s="54"/>
      <c r="F23" s="54" t="s">
        <v>185</v>
      </c>
      <c r="G23" s="55" t="b">
        <v>1</v>
      </c>
      <c r="H23" s="55" t="b">
        <v>0</v>
      </c>
      <c r="I23" s="54"/>
      <c r="J23" s="54" t="s">
        <v>201</v>
      </c>
      <c r="K23" s="55" t="b">
        <v>0</v>
      </c>
      <c r="L23" s="55" t="b">
        <v>1</v>
      </c>
      <c r="M23" s="54"/>
      <c r="N23" s="54"/>
      <c r="O23" s="55" t="b">
        <v>1</v>
      </c>
      <c r="P23" s="55" t="b">
        <v>0</v>
      </c>
      <c r="Q23" s="54"/>
      <c r="R23" s="54"/>
      <c r="S23" s="55" t="b">
        <v>0</v>
      </c>
      <c r="T23" s="55" t="b">
        <v>1</v>
      </c>
      <c r="U23" s="56" t="s">
        <v>217</v>
      </c>
      <c r="V23" s="54">
        <v>2</v>
      </c>
      <c r="W23" s="54">
        <f t="shared" si="0"/>
        <v>50</v>
      </c>
      <c r="X23" s="54">
        <f>+AVERAGE(W20:W23)</f>
        <v>56.25</v>
      </c>
    </row>
    <row r="24" spans="1:24" x14ac:dyDescent="0.35">
      <c r="A24" s="68" t="s">
        <v>104</v>
      </c>
      <c r="B24" s="50" t="s">
        <v>39</v>
      </c>
      <c r="C24" s="50" t="s">
        <v>24</v>
      </c>
      <c r="D24" s="50" t="s">
        <v>24</v>
      </c>
      <c r="E24" s="50"/>
      <c r="F24" s="50"/>
      <c r="G24" s="51" t="b">
        <v>1</v>
      </c>
      <c r="H24" s="51" t="b">
        <v>0</v>
      </c>
      <c r="I24" s="50"/>
      <c r="J24" s="50"/>
      <c r="K24" s="51" t="b">
        <v>1</v>
      </c>
      <c r="L24" s="51" t="b">
        <v>0</v>
      </c>
      <c r="M24" s="50"/>
      <c r="N24" s="50"/>
      <c r="O24" s="51" t="b">
        <v>1</v>
      </c>
      <c r="P24" s="51" t="b">
        <v>0</v>
      </c>
      <c r="Q24" s="50"/>
      <c r="R24" s="50"/>
      <c r="S24" s="51" t="b">
        <v>1</v>
      </c>
      <c r="T24" s="51" t="b">
        <v>0</v>
      </c>
      <c r="U24" s="52"/>
      <c r="V24" s="50">
        <v>4</v>
      </c>
      <c r="W24" s="50">
        <f t="shared" si="0"/>
        <v>100</v>
      </c>
      <c r="X24" s="50"/>
    </row>
    <row r="25" spans="1:24" x14ac:dyDescent="0.35">
      <c r="A25" s="21" t="s">
        <v>109</v>
      </c>
      <c r="B25" s="4" t="s">
        <v>22</v>
      </c>
      <c r="C25" s="4" t="s">
        <v>24</v>
      </c>
      <c r="D25" s="4" t="s">
        <v>13</v>
      </c>
      <c r="E25" s="4"/>
      <c r="F25" s="4"/>
      <c r="G25" s="35" t="b">
        <v>0</v>
      </c>
      <c r="H25" s="35" t="b">
        <v>1</v>
      </c>
      <c r="I25" s="4" t="s">
        <v>56</v>
      </c>
      <c r="J25" s="4"/>
      <c r="K25" s="35" t="b">
        <v>1</v>
      </c>
      <c r="L25" s="35" t="b">
        <v>0</v>
      </c>
      <c r="M25" s="4"/>
      <c r="N25" s="4"/>
      <c r="O25" s="35" t="b">
        <v>1</v>
      </c>
      <c r="P25" s="35" t="b">
        <v>0</v>
      </c>
      <c r="Q25" s="4"/>
      <c r="R25" s="4"/>
      <c r="S25" s="35" t="b">
        <v>1</v>
      </c>
      <c r="T25" s="35" t="b">
        <v>0</v>
      </c>
      <c r="U25" s="43"/>
      <c r="V25" s="4">
        <v>3</v>
      </c>
      <c r="W25" s="4">
        <f t="shared" si="0"/>
        <v>75</v>
      </c>
      <c r="X25" s="4"/>
    </row>
    <row r="26" spans="1:24" x14ac:dyDescent="0.35">
      <c r="A26" s="70" t="s">
        <v>112</v>
      </c>
      <c r="B26" s="46" t="s">
        <v>39</v>
      </c>
      <c r="C26" s="46" t="s">
        <v>24</v>
      </c>
      <c r="D26" s="46" t="s">
        <v>24</v>
      </c>
      <c r="E26" s="46"/>
      <c r="F26" s="46" t="s">
        <v>192</v>
      </c>
      <c r="G26" s="47" t="b">
        <v>0</v>
      </c>
      <c r="H26" s="47" t="b">
        <v>1</v>
      </c>
      <c r="I26" s="46" t="s">
        <v>193</v>
      </c>
      <c r="J26" s="46"/>
      <c r="K26" s="47" t="b">
        <v>1</v>
      </c>
      <c r="L26" s="47" t="b">
        <v>0</v>
      </c>
      <c r="M26" s="46"/>
      <c r="N26" s="46"/>
      <c r="O26" s="47" t="b">
        <v>1</v>
      </c>
      <c r="P26" s="47" t="b">
        <v>0</v>
      </c>
      <c r="Q26" s="46"/>
      <c r="R26" s="46"/>
      <c r="S26" s="47" t="b">
        <v>1</v>
      </c>
      <c r="T26" s="47" t="b">
        <v>0</v>
      </c>
      <c r="U26" s="48"/>
      <c r="V26" s="46">
        <v>3</v>
      </c>
      <c r="W26" s="46">
        <f t="shared" si="0"/>
        <v>75</v>
      </c>
      <c r="X26" s="46"/>
    </row>
    <row r="27" spans="1:24" s="57" customFormat="1" ht="15" thickBot="1" x14ac:dyDescent="0.4">
      <c r="A27" s="72" t="s">
        <v>116</v>
      </c>
      <c r="B27" s="54" t="s">
        <v>44</v>
      </c>
      <c r="C27" s="54" t="s">
        <v>24</v>
      </c>
      <c r="D27" s="54" t="s">
        <v>24</v>
      </c>
      <c r="E27" s="54"/>
      <c r="F27" s="54"/>
      <c r="G27" s="55" t="b">
        <v>0</v>
      </c>
      <c r="H27" s="55" t="b">
        <v>1</v>
      </c>
      <c r="I27" s="54" t="s">
        <v>56</v>
      </c>
      <c r="J27" s="54" t="s">
        <v>56</v>
      </c>
      <c r="K27" s="55" t="b">
        <v>0</v>
      </c>
      <c r="L27" s="55" t="b">
        <v>1</v>
      </c>
      <c r="M27" s="54"/>
      <c r="N27" s="54"/>
      <c r="O27" s="55" t="b">
        <v>1</v>
      </c>
      <c r="P27" s="55" t="b">
        <v>0</v>
      </c>
      <c r="Q27" s="54"/>
      <c r="R27" s="54"/>
      <c r="S27" s="55" t="b">
        <v>1</v>
      </c>
      <c r="T27" s="55" t="b">
        <v>0</v>
      </c>
      <c r="U27" s="56"/>
      <c r="V27" s="54">
        <v>2</v>
      </c>
      <c r="W27" s="54">
        <f t="shared" si="0"/>
        <v>50</v>
      </c>
      <c r="X27" s="54">
        <f>+AVERAGE(W24:W27)</f>
        <v>75</v>
      </c>
    </row>
    <row r="28" spans="1:24" x14ac:dyDescent="0.35">
      <c r="A28" s="71" t="s">
        <v>120</v>
      </c>
      <c r="B28" s="50" t="s">
        <v>44</v>
      </c>
      <c r="C28" s="50" t="s">
        <v>123</v>
      </c>
      <c r="D28" s="50" t="s">
        <v>123</v>
      </c>
      <c r="E28" s="50"/>
      <c r="F28" s="50"/>
      <c r="G28" s="51" t="b">
        <v>0</v>
      </c>
      <c r="H28" s="51" t="b">
        <v>1</v>
      </c>
      <c r="I28" s="50" t="s">
        <v>193</v>
      </c>
      <c r="J28" s="50"/>
      <c r="K28" s="51" t="b">
        <v>1</v>
      </c>
      <c r="L28" s="51" t="b">
        <v>0</v>
      </c>
      <c r="M28" s="50"/>
      <c r="N28" s="50"/>
      <c r="O28" s="51" t="b">
        <v>1</v>
      </c>
      <c r="P28" s="51" t="b">
        <v>0</v>
      </c>
      <c r="Q28" s="50"/>
      <c r="R28" s="50"/>
      <c r="S28" s="51" t="b">
        <v>1</v>
      </c>
      <c r="T28" s="51" t="b">
        <v>0</v>
      </c>
      <c r="U28" s="52"/>
      <c r="V28" s="50">
        <v>3</v>
      </c>
      <c r="W28" s="50">
        <f t="shared" si="0"/>
        <v>75</v>
      </c>
      <c r="X28" s="50"/>
    </row>
    <row r="29" spans="1:24" x14ac:dyDescent="0.35">
      <c r="A29" s="22" t="s">
        <v>125</v>
      </c>
      <c r="B29" s="4" t="s">
        <v>17</v>
      </c>
      <c r="C29" s="4" t="s">
        <v>123</v>
      </c>
      <c r="D29" s="4" t="s">
        <v>13</v>
      </c>
      <c r="E29" s="4"/>
      <c r="F29" s="4"/>
      <c r="G29" s="35" t="b">
        <v>0</v>
      </c>
      <c r="H29" s="35" t="b">
        <v>1</v>
      </c>
      <c r="I29" s="4" t="s">
        <v>193</v>
      </c>
      <c r="J29" s="4" t="s">
        <v>49</v>
      </c>
      <c r="K29" s="35" t="b">
        <v>0</v>
      </c>
      <c r="L29" s="35" t="b">
        <v>1</v>
      </c>
      <c r="M29" s="4"/>
      <c r="N29" s="4"/>
      <c r="O29" s="35" t="b">
        <v>0</v>
      </c>
      <c r="P29" s="35" t="b">
        <v>1</v>
      </c>
      <c r="Q29" s="4" t="s">
        <v>49</v>
      </c>
      <c r="R29" s="4"/>
      <c r="S29" s="35" t="b">
        <v>0</v>
      </c>
      <c r="T29" s="35" t="b">
        <v>1</v>
      </c>
      <c r="U29" s="43" t="s">
        <v>218</v>
      </c>
      <c r="V29" s="4">
        <v>4</v>
      </c>
      <c r="W29" s="4">
        <f t="shared" si="0"/>
        <v>100</v>
      </c>
      <c r="X29" s="4"/>
    </row>
    <row r="30" spans="1:24" x14ac:dyDescent="0.35">
      <c r="A30" s="22" t="s">
        <v>128</v>
      </c>
      <c r="B30" s="4" t="s">
        <v>90</v>
      </c>
      <c r="C30" s="4" t="s">
        <v>123</v>
      </c>
      <c r="D30" s="4" t="s">
        <v>123</v>
      </c>
      <c r="E30" s="4"/>
      <c r="F30" s="4"/>
      <c r="G30" s="35" t="b">
        <v>0</v>
      </c>
      <c r="H30" s="35" t="b">
        <v>1</v>
      </c>
      <c r="I30" s="4" t="s">
        <v>193</v>
      </c>
      <c r="J30" s="4"/>
      <c r="K30" s="35" t="b">
        <v>1</v>
      </c>
      <c r="L30" s="35" t="b">
        <v>0</v>
      </c>
      <c r="M30" s="4"/>
      <c r="N30" s="4"/>
      <c r="O30" s="35" t="b">
        <v>0</v>
      </c>
      <c r="P30" s="35" t="b">
        <v>1</v>
      </c>
      <c r="Q30" s="4" t="s">
        <v>24</v>
      </c>
      <c r="R30" s="4"/>
      <c r="S30" s="35" t="b">
        <v>1</v>
      </c>
      <c r="T30" s="35" t="b">
        <v>0</v>
      </c>
      <c r="U30" s="43"/>
      <c r="V30" s="4">
        <v>2</v>
      </c>
      <c r="W30" s="4">
        <f t="shared" si="0"/>
        <v>50</v>
      </c>
      <c r="X30" s="4"/>
    </row>
    <row r="31" spans="1:24" x14ac:dyDescent="0.35">
      <c r="A31" s="22" t="s">
        <v>132</v>
      </c>
      <c r="B31" s="4" t="s">
        <v>134</v>
      </c>
      <c r="C31" s="4" t="s">
        <v>123</v>
      </c>
      <c r="D31" s="4" t="s">
        <v>24</v>
      </c>
      <c r="E31" s="4"/>
      <c r="F31" s="4" t="s">
        <v>194</v>
      </c>
      <c r="G31" s="35" t="b">
        <v>0</v>
      </c>
      <c r="H31" s="35" t="b">
        <v>1</v>
      </c>
      <c r="I31" s="4" t="s">
        <v>193</v>
      </c>
      <c r="J31" s="4" t="s">
        <v>87</v>
      </c>
      <c r="K31" s="35" t="b">
        <v>0</v>
      </c>
      <c r="L31" s="35" t="b">
        <v>1</v>
      </c>
      <c r="M31" s="4"/>
      <c r="N31" s="4"/>
      <c r="O31" s="35" t="b">
        <v>1</v>
      </c>
      <c r="P31" s="35" t="b">
        <v>0</v>
      </c>
      <c r="Q31" s="4"/>
      <c r="R31" s="4"/>
      <c r="S31" s="35" t="b">
        <v>0</v>
      </c>
      <c r="T31" s="35" t="b">
        <v>1</v>
      </c>
      <c r="U31" s="43" t="s">
        <v>212</v>
      </c>
      <c r="V31" s="4">
        <v>1</v>
      </c>
      <c r="W31" s="4">
        <f t="shared" si="0"/>
        <v>25</v>
      </c>
      <c r="X31" s="4">
        <f>+AVERAGE(W28:W31)</f>
        <v>62.5</v>
      </c>
    </row>
    <row r="32" spans="1:24" x14ac:dyDescent="0.35">
      <c r="W32" s="40">
        <f>+AVERAGE(W4:W31)</f>
        <v>60.714285714285715</v>
      </c>
    </row>
    <row r="51" spans="4:6" ht="34.5" x14ac:dyDescent="0.8">
      <c r="D51" s="30" t="s">
        <v>149</v>
      </c>
      <c r="E51" s="30"/>
      <c r="F51" s="31" t="s">
        <v>13</v>
      </c>
    </row>
    <row r="52" spans="4:6" ht="34.5" x14ac:dyDescent="0.8">
      <c r="D52" s="30" t="s">
        <v>152</v>
      </c>
      <c r="E52" s="30"/>
      <c r="F52" s="31" t="s">
        <v>36</v>
      </c>
    </row>
    <row r="53" spans="4:6" ht="34.5" x14ac:dyDescent="0.8">
      <c r="D53" s="30" t="s">
        <v>156</v>
      </c>
      <c r="E53" s="30"/>
      <c r="F53" s="31" t="s">
        <v>54</v>
      </c>
    </row>
    <row r="54" spans="4:6" ht="34.5" x14ac:dyDescent="0.8">
      <c r="D54" s="30" t="s">
        <v>27</v>
      </c>
      <c r="E54" s="30"/>
      <c r="F54" s="31" t="s">
        <v>75</v>
      </c>
    </row>
    <row r="55" spans="4:6" ht="34.5" x14ac:dyDescent="0.8">
      <c r="D55" s="30" t="s">
        <v>32</v>
      </c>
      <c r="E55" s="30"/>
      <c r="F55" s="31" t="s">
        <v>86</v>
      </c>
    </row>
    <row r="56" spans="4:6" ht="34.5" x14ac:dyDescent="0.8">
      <c r="D56" s="30" t="s">
        <v>37</v>
      </c>
      <c r="E56" s="30"/>
      <c r="F56" s="31" t="s">
        <v>24</v>
      </c>
    </row>
    <row r="57" spans="4:6" ht="34.5" x14ac:dyDescent="0.8">
      <c r="D57" s="30" t="s">
        <v>42</v>
      </c>
      <c r="E57" s="30"/>
      <c r="F57" s="31" t="s">
        <v>123</v>
      </c>
    </row>
    <row r="58" spans="4:6" ht="31" x14ac:dyDescent="0.7">
      <c r="D58" s="30" t="s">
        <v>48</v>
      </c>
      <c r="E58" s="30"/>
      <c r="F58" s="30" t="s">
        <v>104</v>
      </c>
    </row>
    <row r="59" spans="4:6" ht="31" x14ac:dyDescent="0.7">
      <c r="D59" s="30" t="s">
        <v>169</v>
      </c>
      <c r="E59" s="30"/>
      <c r="F59" s="30" t="s">
        <v>174</v>
      </c>
    </row>
    <row r="60" spans="4:6" ht="31" x14ac:dyDescent="0.7">
      <c r="D60" s="30" t="s">
        <v>57</v>
      </c>
      <c r="E60" s="30"/>
      <c r="F60" s="30" t="s">
        <v>175</v>
      </c>
    </row>
    <row r="61" spans="4:6" ht="31" x14ac:dyDescent="0.7">
      <c r="D61" s="30" t="s">
        <v>170</v>
      </c>
      <c r="E61" s="30"/>
      <c r="F61" s="30" t="s">
        <v>176</v>
      </c>
    </row>
    <row r="62" spans="4:6" ht="31" x14ac:dyDescent="0.7">
      <c r="D62" s="30" t="s">
        <v>65</v>
      </c>
      <c r="E62" s="30"/>
      <c r="F62" s="30" t="s">
        <v>120</v>
      </c>
    </row>
    <row r="63" spans="4:6" ht="31" x14ac:dyDescent="0.7">
      <c r="D63" s="30" t="s">
        <v>171</v>
      </c>
      <c r="E63" s="30"/>
      <c r="F63" s="30" t="s">
        <v>177</v>
      </c>
    </row>
    <row r="64" spans="4:6" ht="31" x14ac:dyDescent="0.7">
      <c r="D64" s="30" t="s">
        <v>168</v>
      </c>
      <c r="E64" s="30"/>
      <c r="F64" s="30" t="s">
        <v>178</v>
      </c>
    </row>
    <row r="65" spans="4:6" ht="31" x14ac:dyDescent="0.7">
      <c r="D65" s="30" t="s">
        <v>81</v>
      </c>
      <c r="E65" s="30"/>
      <c r="F65" s="30" t="s">
        <v>179</v>
      </c>
    </row>
    <row r="66" spans="4:6" ht="31" x14ac:dyDescent="0.7">
      <c r="D66" s="30" t="s">
        <v>165</v>
      </c>
      <c r="E66" s="39"/>
    </row>
    <row r="67" spans="4:6" ht="31" x14ac:dyDescent="0.7">
      <c r="D67" s="30" t="s">
        <v>85</v>
      </c>
      <c r="E67" s="39"/>
    </row>
    <row r="68" spans="4:6" ht="31" x14ac:dyDescent="0.7">
      <c r="D68" s="30" t="s">
        <v>92</v>
      </c>
      <c r="E68" s="39"/>
    </row>
    <row r="69" spans="4:6" ht="31" x14ac:dyDescent="0.7">
      <c r="D69" s="30" t="s">
        <v>172</v>
      </c>
      <c r="E69" s="39"/>
    </row>
    <row r="70" spans="4:6" ht="31" x14ac:dyDescent="0.7">
      <c r="D70" s="30" t="s">
        <v>173</v>
      </c>
      <c r="E70" s="39"/>
    </row>
    <row r="71" spans="4:6" ht="31" x14ac:dyDescent="0.7">
      <c r="D71" s="30"/>
      <c r="E71" s="39"/>
    </row>
    <row r="72" spans="4:6" ht="31" x14ac:dyDescent="0.7">
      <c r="D72" s="30"/>
      <c r="E72" s="39"/>
    </row>
    <row r="73" spans="4:6" ht="31" x14ac:dyDescent="0.7">
      <c r="D73" s="30"/>
      <c r="E73" s="39"/>
    </row>
    <row r="74" spans="4:6" ht="31" x14ac:dyDescent="0.7">
      <c r="D74" s="30"/>
      <c r="E74" s="39"/>
    </row>
    <row r="75" spans="4:6" ht="31" x14ac:dyDescent="0.7">
      <c r="D75" s="30"/>
      <c r="E75" s="39"/>
    </row>
    <row r="76" spans="4:6" ht="31" x14ac:dyDescent="0.7">
      <c r="D76" s="30"/>
      <c r="E76" s="39"/>
    </row>
    <row r="77" spans="4:6" ht="31" x14ac:dyDescent="0.7">
      <c r="D77" s="30"/>
      <c r="E77" s="39"/>
    </row>
    <row r="78" spans="4:6" ht="31" x14ac:dyDescent="0.7">
      <c r="D78" s="30"/>
      <c r="E78" s="39"/>
    </row>
  </sheetData>
  <mergeCells count="9">
    <mergeCell ref="S2:T2"/>
    <mergeCell ref="R1:U1"/>
    <mergeCell ref="O2:P2"/>
    <mergeCell ref="N1:Q1"/>
    <mergeCell ref="C2:D2"/>
    <mergeCell ref="G2:H2"/>
    <mergeCell ref="F1:I1"/>
    <mergeCell ref="K2:L2"/>
    <mergeCell ref="J1:M1"/>
  </mergeCells>
  <pageMargins left="0.22" right="0.1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C26-6977-44E0-8C8D-AD4625C2E8E0}">
  <dimension ref="A1:L32"/>
  <sheetViews>
    <sheetView tabSelected="1" workbookViewId="0">
      <selection activeCell="L35" sqref="L35"/>
    </sheetView>
  </sheetViews>
  <sheetFormatPr baseColWidth="10" defaultRowHeight="14.5" x14ac:dyDescent="0.35"/>
  <cols>
    <col min="3" max="3" width="20.08984375" customWidth="1"/>
    <col min="4" max="4" width="15.54296875" customWidth="1"/>
    <col min="5" max="5" width="17.6328125" customWidth="1"/>
    <col min="6" max="6" width="19.54296875" customWidth="1"/>
    <col min="7" max="7" width="16.1796875" customWidth="1"/>
    <col min="11" max="11" width="16.08984375" customWidth="1"/>
  </cols>
  <sheetData>
    <row r="1" spans="1:12" ht="16" x14ac:dyDescent="0.4">
      <c r="A1" s="24" t="s">
        <v>180</v>
      </c>
      <c r="B1" s="25" t="s">
        <v>3</v>
      </c>
      <c r="C1" s="91" t="s">
        <v>148</v>
      </c>
      <c r="D1" s="92"/>
      <c r="E1" s="91" t="s">
        <v>222</v>
      </c>
      <c r="F1" s="92"/>
      <c r="G1" s="91" t="s">
        <v>223</v>
      </c>
      <c r="H1" s="92"/>
      <c r="I1" s="38"/>
    </row>
    <row r="2" spans="1:12" ht="16" x14ac:dyDescent="0.4">
      <c r="A2" s="26"/>
      <c r="B2" s="27"/>
      <c r="C2" s="29" t="s">
        <v>146</v>
      </c>
      <c r="D2" s="29" t="s">
        <v>147</v>
      </c>
      <c r="E2" s="3" t="s">
        <v>6</v>
      </c>
      <c r="F2" s="3" t="s">
        <v>7</v>
      </c>
      <c r="G2" s="44" t="s">
        <v>220</v>
      </c>
      <c r="H2" s="44" t="s">
        <v>221</v>
      </c>
      <c r="I2" s="44" t="s">
        <v>224</v>
      </c>
      <c r="K2" s="73" t="s">
        <v>225</v>
      </c>
      <c r="L2">
        <v>4</v>
      </c>
    </row>
    <row r="3" spans="1:12" x14ac:dyDescent="0.35">
      <c r="A3" s="12" t="s">
        <v>149</v>
      </c>
      <c r="B3" s="4" t="s">
        <v>39</v>
      </c>
      <c r="C3" t="s">
        <v>13</v>
      </c>
      <c r="D3" s="4" t="s">
        <v>13</v>
      </c>
      <c r="E3" s="6" t="s">
        <v>12</v>
      </c>
      <c r="F3" s="6" t="s">
        <v>12</v>
      </c>
      <c r="G3" s="4">
        <v>4</v>
      </c>
      <c r="H3" s="4">
        <f>+(G3/$L$2)*100</f>
        <v>100</v>
      </c>
      <c r="I3" s="4"/>
    </row>
    <row r="4" spans="1:12" x14ac:dyDescent="0.35">
      <c r="A4" s="12" t="s">
        <v>152</v>
      </c>
      <c r="B4" s="4" t="s">
        <v>22</v>
      </c>
      <c r="C4" s="4" t="s">
        <v>13</v>
      </c>
      <c r="D4" s="4" t="s">
        <v>13</v>
      </c>
      <c r="E4" s="13" t="s">
        <v>87</v>
      </c>
      <c r="F4" s="9" t="s">
        <v>55</v>
      </c>
      <c r="G4" s="4">
        <v>1</v>
      </c>
      <c r="H4" s="4">
        <f t="shared" ref="H4:H30" si="0">+(G4/$L$2)*100</f>
        <v>25</v>
      </c>
      <c r="I4" s="4"/>
    </row>
    <row r="5" spans="1:12" x14ac:dyDescent="0.35">
      <c r="A5" s="45" t="s">
        <v>156</v>
      </c>
      <c r="B5" s="46" t="s">
        <v>22</v>
      </c>
      <c r="C5" s="46" t="s">
        <v>160</v>
      </c>
      <c r="D5" s="46" t="s">
        <v>161</v>
      </c>
      <c r="E5" s="74" t="s">
        <v>56</v>
      </c>
      <c r="F5" s="75"/>
      <c r="G5" s="46">
        <v>2</v>
      </c>
      <c r="H5" s="46">
        <f t="shared" si="0"/>
        <v>50</v>
      </c>
      <c r="I5" s="46"/>
    </row>
    <row r="6" spans="1:12" s="57" customFormat="1" ht="15" thickBot="1" x14ac:dyDescent="0.4">
      <c r="A6" s="53" t="s">
        <v>27</v>
      </c>
      <c r="B6" s="54" t="s">
        <v>17</v>
      </c>
      <c r="C6" s="54" t="s">
        <v>13</v>
      </c>
      <c r="D6" s="54" t="s">
        <v>13</v>
      </c>
      <c r="E6" s="77" t="s">
        <v>30</v>
      </c>
      <c r="F6" s="54"/>
      <c r="G6" s="54">
        <v>3</v>
      </c>
      <c r="H6" s="54">
        <f t="shared" si="0"/>
        <v>75</v>
      </c>
      <c r="I6" s="54">
        <f>+AVERAGE(H3:H6)</f>
        <v>62.5</v>
      </c>
    </row>
    <row r="7" spans="1:12" x14ac:dyDescent="0.35">
      <c r="A7" s="49" t="s">
        <v>32</v>
      </c>
      <c r="B7" s="50" t="s">
        <v>34</v>
      </c>
      <c r="C7" s="50" t="s">
        <v>36</v>
      </c>
      <c r="D7" s="50" t="s">
        <v>36</v>
      </c>
      <c r="E7" s="76" t="s">
        <v>36</v>
      </c>
      <c r="F7" s="76" t="s">
        <v>36</v>
      </c>
      <c r="G7" s="50">
        <v>4</v>
      </c>
      <c r="H7" s="50">
        <f t="shared" si="0"/>
        <v>100</v>
      </c>
      <c r="I7" s="50"/>
    </row>
    <row r="8" spans="1:12" x14ac:dyDescent="0.35">
      <c r="A8" s="18" t="s">
        <v>37</v>
      </c>
      <c r="B8" s="4" t="s">
        <v>39</v>
      </c>
      <c r="C8" s="4" t="s">
        <v>36</v>
      </c>
      <c r="D8" s="4" t="s">
        <v>36</v>
      </c>
      <c r="E8" s="4" t="s">
        <v>41</v>
      </c>
      <c r="F8" s="4" t="s">
        <v>41</v>
      </c>
      <c r="G8" s="4">
        <v>1</v>
      </c>
      <c r="H8" s="4">
        <f t="shared" si="0"/>
        <v>25</v>
      </c>
      <c r="I8" s="4"/>
    </row>
    <row r="9" spans="1:12" x14ac:dyDescent="0.35">
      <c r="A9" s="58" t="s">
        <v>42</v>
      </c>
      <c r="B9" s="46" t="s">
        <v>44</v>
      </c>
      <c r="C9" s="46" t="s">
        <v>36</v>
      </c>
      <c r="D9" s="46" t="s">
        <v>13</v>
      </c>
      <c r="E9" s="74" t="s">
        <v>49</v>
      </c>
      <c r="F9" s="46"/>
      <c r="G9" s="46">
        <v>2</v>
      </c>
      <c r="H9" s="46">
        <f t="shared" si="0"/>
        <v>50</v>
      </c>
      <c r="I9" s="46"/>
    </row>
    <row r="10" spans="1:12" s="57" customFormat="1" ht="15" thickBot="1" x14ac:dyDescent="0.4">
      <c r="A10" s="60" t="s">
        <v>48</v>
      </c>
      <c r="B10" s="54" t="s">
        <v>10</v>
      </c>
      <c r="C10" s="54" t="s">
        <v>36</v>
      </c>
      <c r="D10" s="54" t="s">
        <v>13</v>
      </c>
      <c r="E10" s="79" t="s">
        <v>49</v>
      </c>
      <c r="F10" s="54"/>
      <c r="G10" s="54">
        <v>1</v>
      </c>
      <c r="H10" s="54">
        <f t="shared" si="0"/>
        <v>25</v>
      </c>
      <c r="I10" s="54">
        <f>+AVERAGE(H7:H10)</f>
        <v>50</v>
      </c>
    </row>
    <row r="11" spans="1:12" x14ac:dyDescent="0.35">
      <c r="A11" s="59" t="s">
        <v>50</v>
      </c>
      <c r="B11" s="50" t="s">
        <v>52</v>
      </c>
      <c r="C11" s="50" t="s">
        <v>54</v>
      </c>
      <c r="D11" s="50" t="s">
        <v>54</v>
      </c>
      <c r="E11" s="78" t="s">
        <v>56</v>
      </c>
      <c r="F11" s="50" t="s">
        <v>55</v>
      </c>
      <c r="G11" s="50">
        <v>2</v>
      </c>
      <c r="H11" s="50">
        <f t="shared" si="0"/>
        <v>50</v>
      </c>
      <c r="I11" s="50"/>
    </row>
    <row r="12" spans="1:12" x14ac:dyDescent="0.35">
      <c r="A12" s="15" t="s">
        <v>57</v>
      </c>
      <c r="B12" s="14" t="s">
        <v>10</v>
      </c>
      <c r="C12" s="4" t="s">
        <v>54</v>
      </c>
      <c r="D12" s="4" t="s">
        <v>54</v>
      </c>
      <c r="E12" s="4" t="s">
        <v>41</v>
      </c>
      <c r="F12" s="4" t="s">
        <v>41</v>
      </c>
      <c r="G12" s="4">
        <v>3</v>
      </c>
      <c r="H12" s="4">
        <f t="shared" si="0"/>
        <v>75</v>
      </c>
      <c r="I12" s="4"/>
    </row>
    <row r="13" spans="1:12" x14ac:dyDescent="0.35">
      <c r="A13" s="61" t="s">
        <v>60</v>
      </c>
      <c r="B13" s="46" t="s">
        <v>22</v>
      </c>
      <c r="C13" s="46" t="s">
        <v>54</v>
      </c>
      <c r="D13" s="46" t="s">
        <v>13</v>
      </c>
      <c r="E13" s="80"/>
      <c r="F13" s="46"/>
      <c r="G13" s="46">
        <v>2</v>
      </c>
      <c r="H13" s="46">
        <f t="shared" si="0"/>
        <v>50</v>
      </c>
      <c r="I13" s="46"/>
    </row>
    <row r="14" spans="1:12" s="57" customFormat="1" ht="15" thickBot="1" x14ac:dyDescent="0.4">
      <c r="A14" s="63" t="s">
        <v>65</v>
      </c>
      <c r="B14" s="54" t="s">
        <v>67</v>
      </c>
      <c r="C14" s="54" t="s">
        <v>54</v>
      </c>
      <c r="D14" s="54" t="s">
        <v>54</v>
      </c>
      <c r="E14" s="81" t="s">
        <v>71</v>
      </c>
      <c r="F14" s="54"/>
      <c r="G14" s="54">
        <v>2</v>
      </c>
      <c r="H14" s="54">
        <f t="shared" si="0"/>
        <v>50</v>
      </c>
      <c r="I14" s="54">
        <f>+AVERAGE(H11:H14)</f>
        <v>56.25</v>
      </c>
    </row>
    <row r="15" spans="1:12" x14ac:dyDescent="0.35">
      <c r="A15" s="62" t="s">
        <v>72</v>
      </c>
      <c r="B15" s="50" t="s">
        <v>44</v>
      </c>
      <c r="C15" s="50" t="s">
        <v>75</v>
      </c>
      <c r="D15" s="50" t="s">
        <v>75</v>
      </c>
      <c r="E15" s="78" t="s">
        <v>56</v>
      </c>
      <c r="F15" s="76" t="s">
        <v>56</v>
      </c>
      <c r="G15" s="50">
        <v>4</v>
      </c>
      <c r="H15" s="50">
        <f t="shared" si="0"/>
        <v>100</v>
      </c>
      <c r="I15" s="50"/>
    </row>
    <row r="16" spans="1:12" x14ac:dyDescent="0.35">
      <c r="A16" s="19" t="s">
        <v>162</v>
      </c>
      <c r="B16" s="4" t="s">
        <v>67</v>
      </c>
      <c r="C16" s="4" t="s">
        <v>75</v>
      </c>
      <c r="D16" s="4" t="s">
        <v>75</v>
      </c>
      <c r="E16" s="7"/>
      <c r="F16" s="4"/>
      <c r="G16" s="4">
        <v>1</v>
      </c>
      <c r="H16" s="4">
        <f t="shared" si="0"/>
        <v>25</v>
      </c>
      <c r="I16" s="4"/>
    </row>
    <row r="17" spans="1:9" x14ac:dyDescent="0.35">
      <c r="A17" s="64" t="s">
        <v>81</v>
      </c>
      <c r="B17" s="46" t="s">
        <v>39</v>
      </c>
      <c r="C17" s="46" t="s">
        <v>75</v>
      </c>
      <c r="D17" s="46" t="s">
        <v>54</v>
      </c>
      <c r="E17" s="74" t="s">
        <v>49</v>
      </c>
      <c r="F17" s="46"/>
      <c r="G17" s="46">
        <v>3</v>
      </c>
      <c r="H17" s="46">
        <f t="shared" si="0"/>
        <v>75</v>
      </c>
      <c r="I17" s="46"/>
    </row>
    <row r="18" spans="1:9" s="57" customFormat="1" ht="15" thickBot="1" x14ac:dyDescent="0.4">
      <c r="A18" s="66" t="s">
        <v>165</v>
      </c>
      <c r="B18" s="54" t="s">
        <v>22</v>
      </c>
      <c r="C18" s="54" t="s">
        <v>75</v>
      </c>
      <c r="D18" s="54" t="s">
        <v>75</v>
      </c>
      <c r="E18" s="83" t="s">
        <v>12</v>
      </c>
      <c r="F18" s="84"/>
      <c r="G18" s="54">
        <v>2</v>
      </c>
      <c r="H18" s="54">
        <f t="shared" si="0"/>
        <v>50</v>
      </c>
      <c r="I18" s="54">
        <f>+AVERAGE(H15:H18)</f>
        <v>62.5</v>
      </c>
    </row>
    <row r="19" spans="1:9" x14ac:dyDescent="0.35">
      <c r="A19" s="65" t="s">
        <v>85</v>
      </c>
      <c r="B19" s="50" t="s">
        <v>90</v>
      </c>
      <c r="C19" s="50" t="s">
        <v>86</v>
      </c>
      <c r="D19" s="50" t="s">
        <v>86</v>
      </c>
      <c r="E19" s="76" t="s">
        <v>87</v>
      </c>
      <c r="F19" s="82" t="s">
        <v>88</v>
      </c>
      <c r="G19" s="50">
        <v>3</v>
      </c>
      <c r="H19" s="50">
        <f t="shared" si="0"/>
        <v>75</v>
      </c>
      <c r="I19" s="50"/>
    </row>
    <row r="20" spans="1:9" x14ac:dyDescent="0.35">
      <c r="A20" s="20" t="s">
        <v>92</v>
      </c>
      <c r="B20" s="14" t="s">
        <v>67</v>
      </c>
      <c r="C20" s="4" t="s">
        <v>86</v>
      </c>
      <c r="D20" s="4" t="s">
        <v>13</v>
      </c>
      <c r="E20" s="4" t="s">
        <v>41</v>
      </c>
      <c r="F20" s="4" t="s">
        <v>41</v>
      </c>
      <c r="G20" s="4">
        <v>2</v>
      </c>
      <c r="H20" s="4">
        <f t="shared" si="0"/>
        <v>50</v>
      </c>
      <c r="I20" s="4"/>
    </row>
    <row r="21" spans="1:9" x14ac:dyDescent="0.35">
      <c r="A21" s="67" t="s">
        <v>95</v>
      </c>
      <c r="B21" s="46" t="s">
        <v>97</v>
      </c>
      <c r="C21" s="46" t="s">
        <v>86</v>
      </c>
      <c r="D21" s="46" t="s">
        <v>86</v>
      </c>
      <c r="E21" s="80"/>
      <c r="F21" s="46"/>
      <c r="G21" s="46">
        <v>2</v>
      </c>
      <c r="H21" s="46">
        <f t="shared" si="0"/>
        <v>50</v>
      </c>
      <c r="I21" s="46"/>
    </row>
    <row r="22" spans="1:9" s="57" customFormat="1" ht="15" thickBot="1" x14ac:dyDescent="0.4">
      <c r="A22" s="69" t="s">
        <v>99</v>
      </c>
      <c r="B22" s="54" t="s">
        <v>102</v>
      </c>
      <c r="C22" s="54" t="s">
        <v>86</v>
      </c>
      <c r="D22" s="54" t="s">
        <v>86</v>
      </c>
      <c r="E22" s="81" t="s">
        <v>56</v>
      </c>
      <c r="F22" s="54"/>
      <c r="G22" s="54">
        <v>2</v>
      </c>
      <c r="H22" s="54">
        <f t="shared" si="0"/>
        <v>50</v>
      </c>
      <c r="I22" s="54">
        <f>+AVERAGE(H19:H22)</f>
        <v>56.25</v>
      </c>
    </row>
    <row r="23" spans="1:9" x14ac:dyDescent="0.35">
      <c r="A23" s="68" t="s">
        <v>104</v>
      </c>
      <c r="B23" s="50" t="s">
        <v>39</v>
      </c>
      <c r="C23" s="50" t="s">
        <v>24</v>
      </c>
      <c r="D23" s="50" t="s">
        <v>24</v>
      </c>
      <c r="E23" s="85" t="s">
        <v>108</v>
      </c>
      <c r="F23" s="86" t="s">
        <v>55</v>
      </c>
      <c r="G23" s="50">
        <v>4</v>
      </c>
      <c r="H23" s="50">
        <f t="shared" si="0"/>
        <v>100</v>
      </c>
      <c r="I23" s="50"/>
    </row>
    <row r="24" spans="1:9" x14ac:dyDescent="0.35">
      <c r="A24" s="21" t="s">
        <v>109</v>
      </c>
      <c r="B24" s="4" t="s">
        <v>22</v>
      </c>
      <c r="C24" s="4" t="s">
        <v>24</v>
      </c>
      <c r="D24" s="4" t="s">
        <v>13</v>
      </c>
      <c r="E24" s="7"/>
      <c r="F24" s="4"/>
      <c r="G24" s="4">
        <v>3</v>
      </c>
      <c r="H24" s="4">
        <f t="shared" si="0"/>
        <v>75</v>
      </c>
      <c r="I24" s="4"/>
    </row>
    <row r="25" spans="1:9" x14ac:dyDescent="0.35">
      <c r="A25" s="70" t="s">
        <v>112</v>
      </c>
      <c r="B25" s="46" t="s">
        <v>39</v>
      </c>
      <c r="C25" s="46" t="s">
        <v>24</v>
      </c>
      <c r="D25" s="46" t="s">
        <v>24</v>
      </c>
      <c r="E25" s="87" t="s">
        <v>115</v>
      </c>
      <c r="F25" s="46"/>
      <c r="G25" s="46">
        <v>3</v>
      </c>
      <c r="H25" s="46">
        <f t="shared" si="0"/>
        <v>75</v>
      </c>
      <c r="I25" s="46"/>
    </row>
    <row r="26" spans="1:9" s="57" customFormat="1" ht="15" thickBot="1" x14ac:dyDescent="0.4">
      <c r="A26" s="72" t="s">
        <v>116</v>
      </c>
      <c r="B26" s="54" t="s">
        <v>44</v>
      </c>
      <c r="C26" s="54" t="s">
        <v>24</v>
      </c>
      <c r="D26" s="54" t="s">
        <v>24</v>
      </c>
      <c r="E26" s="88" t="s">
        <v>115</v>
      </c>
      <c r="F26" s="54"/>
      <c r="G26" s="54">
        <v>2</v>
      </c>
      <c r="H26" s="54">
        <f t="shared" si="0"/>
        <v>50</v>
      </c>
      <c r="I26" s="54">
        <f>+AVERAGE(H23:H26)</f>
        <v>75</v>
      </c>
    </row>
    <row r="27" spans="1:9" x14ac:dyDescent="0.35">
      <c r="A27" s="71" t="s">
        <v>120</v>
      </c>
      <c r="B27" s="50" t="s">
        <v>44</v>
      </c>
      <c r="C27" s="50" t="s">
        <v>123</v>
      </c>
      <c r="D27" s="50" t="s">
        <v>123</v>
      </c>
      <c r="E27" s="76" t="s">
        <v>49</v>
      </c>
      <c r="F27" s="82" t="s">
        <v>122</v>
      </c>
      <c r="G27" s="50">
        <v>3</v>
      </c>
      <c r="H27" s="50">
        <f t="shared" si="0"/>
        <v>75</v>
      </c>
      <c r="I27" s="50"/>
    </row>
    <row r="28" spans="1:9" x14ac:dyDescent="0.35">
      <c r="A28" s="22" t="s">
        <v>125</v>
      </c>
      <c r="B28" s="4" t="s">
        <v>17</v>
      </c>
      <c r="C28" s="4" t="s">
        <v>123</v>
      </c>
      <c r="D28" s="4" t="s">
        <v>13</v>
      </c>
      <c r="E28" s="7"/>
      <c r="F28" s="4"/>
      <c r="G28" s="4">
        <v>4</v>
      </c>
      <c r="H28" s="4">
        <f t="shared" si="0"/>
        <v>100</v>
      </c>
      <c r="I28" s="4"/>
    </row>
    <row r="29" spans="1:9" x14ac:dyDescent="0.35">
      <c r="A29" s="89" t="s">
        <v>128</v>
      </c>
      <c r="B29" s="46" t="s">
        <v>90</v>
      </c>
      <c r="C29" s="46" t="s">
        <v>123</v>
      </c>
      <c r="D29" s="46" t="s">
        <v>123</v>
      </c>
      <c r="E29" s="74" t="s">
        <v>131</v>
      </c>
      <c r="F29" s="46"/>
      <c r="G29" s="46">
        <v>2</v>
      </c>
      <c r="H29" s="46">
        <f t="shared" si="0"/>
        <v>50</v>
      </c>
      <c r="I29" s="46"/>
    </row>
    <row r="30" spans="1:9" s="57" customFormat="1" ht="15" thickBot="1" x14ac:dyDescent="0.4">
      <c r="A30" s="90" t="s">
        <v>132</v>
      </c>
      <c r="B30" s="54" t="s">
        <v>134</v>
      </c>
      <c r="C30" s="54" t="s">
        <v>123</v>
      </c>
      <c r="D30" s="54" t="s">
        <v>24</v>
      </c>
      <c r="E30" s="88" t="s">
        <v>115</v>
      </c>
      <c r="F30" s="54"/>
      <c r="G30" s="54">
        <v>1</v>
      </c>
      <c r="H30" s="54">
        <f t="shared" si="0"/>
        <v>25</v>
      </c>
      <c r="I30" s="54">
        <f>+AVERAGE(H27:H30)</f>
        <v>62.5</v>
      </c>
    </row>
    <row r="31" spans="1:9" x14ac:dyDescent="0.35">
      <c r="H31" s="40">
        <f>+AVERAGE(H3:H30)</f>
        <v>60.714285714285715</v>
      </c>
    </row>
    <row r="32" spans="1:9" x14ac:dyDescent="0.35">
      <c r="H32" s="40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Vorlage</vt:lpstr>
      <vt:lpstr>Auswertung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cp:lastPrinted>2026-06-16T07:57:43Z</cp:lastPrinted>
  <dcterms:created xsi:type="dcterms:W3CDTF">2026-06-11T11:00:29Z</dcterms:created>
  <dcterms:modified xsi:type="dcterms:W3CDTF">2026-06-23T07:55:40Z</dcterms:modified>
</cp:coreProperties>
</file>