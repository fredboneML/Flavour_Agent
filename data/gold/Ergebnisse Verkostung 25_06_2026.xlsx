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roma\Flavor Development\Portfolio Management\K_AI\25_06_2026_Tasty\"/>
    </mc:Choice>
  </mc:AlternateContent>
  <xr:revisionPtr revIDLastSave="0" documentId="13_ncr:1_{EB2AA118-28DA-4D5F-B8F8-54CE1B916388}" xr6:coauthVersionLast="47" xr6:coauthVersionMax="47" xr10:uidLastSave="{00000000-0000-0000-0000-000000000000}"/>
  <bookViews>
    <workbookView xWindow="30612" yWindow="-108" windowWidth="30936" windowHeight="16776" xr2:uid="{51F0EC95-FB68-4734-BF9D-3CAA423545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6" i="1" l="1"/>
  <c r="I38" i="1"/>
</calcChain>
</file>

<file path=xl/sharedStrings.xml><?xml version="1.0" encoding="utf-8"?>
<sst xmlns="http://schemas.openxmlformats.org/spreadsheetml/2006/main" count="195" uniqueCount="88">
  <si>
    <t>Rezept Nr.</t>
  </si>
  <si>
    <t>Clustering Fred</t>
  </si>
  <si>
    <t>Clustering AJ</t>
  </si>
  <si>
    <t>M1 Label Propagation</t>
  </si>
  <si>
    <t>M2 Rule Based</t>
  </si>
  <si>
    <t>Cluster vorgegeben</t>
  </si>
  <si>
    <t>Jan Free Sorting</t>
  </si>
  <si>
    <t>187.894</t>
  </si>
  <si>
    <t>187.752P</t>
  </si>
  <si>
    <t>188.976</t>
  </si>
  <si>
    <t>186.179</t>
  </si>
  <si>
    <t>187.871P</t>
  </si>
  <si>
    <t>187.892P</t>
  </si>
  <si>
    <t>186.396</t>
  </si>
  <si>
    <t>187.796P</t>
  </si>
  <si>
    <t>189.014</t>
  </si>
  <si>
    <t>186.981P</t>
  </si>
  <si>
    <t>185.046</t>
  </si>
  <si>
    <t>185.922P</t>
  </si>
  <si>
    <t>187.786P</t>
  </si>
  <si>
    <t>187.776</t>
  </si>
  <si>
    <t>Walderdbeere</t>
  </si>
  <si>
    <t>warm</t>
  </si>
  <si>
    <t>reif/ muffig</t>
  </si>
  <si>
    <t>nicht verkostet</t>
  </si>
  <si>
    <t>blumig</t>
  </si>
  <si>
    <t>muffig</t>
  </si>
  <si>
    <t>floral (mittig)</t>
  </si>
  <si>
    <t>grün</t>
  </si>
  <si>
    <t>Heidelbeere/ Jasmin</t>
  </si>
  <si>
    <t>floral (ganz unten)</t>
  </si>
  <si>
    <t>floral</t>
  </si>
  <si>
    <t>floral (ganz oben)</t>
  </si>
  <si>
    <t>buttrig - grün</t>
  </si>
  <si>
    <t>dairy</t>
  </si>
  <si>
    <t>Karamell/ bonbon - reif/ muffig</t>
  </si>
  <si>
    <t>Ergebnis</t>
  </si>
  <si>
    <t>Positive Antworten</t>
  </si>
  <si>
    <t>Prozent %</t>
  </si>
  <si>
    <t>185.237</t>
  </si>
  <si>
    <t>Karamell</t>
  </si>
  <si>
    <t>186.277P</t>
  </si>
  <si>
    <t>187.567</t>
  </si>
  <si>
    <t xml:space="preserve">warm </t>
  </si>
  <si>
    <t>185.507</t>
  </si>
  <si>
    <t>buttrig</t>
  </si>
  <si>
    <t>185.044</t>
  </si>
  <si>
    <t xml:space="preserve">unpleasant </t>
  </si>
  <si>
    <t>187.920</t>
  </si>
  <si>
    <t>grün - reif/ muffig</t>
  </si>
  <si>
    <t>185.314</t>
  </si>
  <si>
    <t>185.294</t>
  </si>
  <si>
    <t>muffig/ buttrig</t>
  </si>
  <si>
    <t>188.977</t>
  </si>
  <si>
    <t>187.167P</t>
  </si>
  <si>
    <t>187.826P</t>
  </si>
  <si>
    <t>185.291</t>
  </si>
  <si>
    <t>Walderdbeere - grün</t>
  </si>
  <si>
    <t>185.471</t>
  </si>
  <si>
    <t>188.656</t>
  </si>
  <si>
    <t>Karamell/Bonbon</t>
  </si>
  <si>
    <t>188.412P</t>
  </si>
  <si>
    <t>green</t>
  </si>
  <si>
    <t xml:space="preserve">green </t>
  </si>
  <si>
    <t>187.657P</t>
  </si>
  <si>
    <t>unpleasant</t>
  </si>
  <si>
    <t>185.178HP</t>
  </si>
  <si>
    <t>187.746P</t>
  </si>
  <si>
    <t>186.190</t>
  </si>
  <si>
    <t>187.521P</t>
  </si>
  <si>
    <t>185.902</t>
  </si>
  <si>
    <t>185.178</t>
  </si>
  <si>
    <t>185.267</t>
  </si>
  <si>
    <t>187.246P</t>
  </si>
  <si>
    <t>187.829P</t>
  </si>
  <si>
    <t>reif/muffig</t>
  </si>
  <si>
    <t>188.560P</t>
  </si>
  <si>
    <t>187.773</t>
  </si>
  <si>
    <t>188.819</t>
  </si>
  <si>
    <t>186.293P</t>
  </si>
  <si>
    <t>buttrig/ blumig - reif/ muffig</t>
  </si>
  <si>
    <t>187.015P</t>
  </si>
  <si>
    <t>Regel</t>
  </si>
  <si>
    <t>Mehtylanthranilat, Dimethylanthranliat müssen vorhanden sein</t>
  </si>
  <si>
    <t>Maltol, Furaneol, Vanillin müssen vorhanden sein</t>
  </si>
  <si>
    <t>keine eindeutige Regel gefunden</t>
  </si>
  <si>
    <t>wenn Jasmin vorhanden</t>
  </si>
  <si>
    <t>Acetoin, Diacetyl Rohstoffe müssen vorhanden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</si>
</sst>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4" xfId="0" applyFill="1" applyBorder="1"/>
    <xf numFmtId="0" fontId="0" fillId="6" borderId="5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6" xfId="0" applyBorder="1"/>
    <xf numFmtId="0" fontId="0" fillId="0" borderId="4" xfId="0" applyBorder="1"/>
    <xf numFmtId="0" fontId="0" fillId="9" borderId="1" xfId="0" applyFill="1" applyBorder="1" applyAlignment="1">
      <alignment horizontal="left"/>
    </xf>
    <xf numFmtId="0" fontId="0" fillId="0" borderId="5" xfId="0" applyBorder="1"/>
    <xf numFmtId="0" fontId="0" fillId="10" borderId="1" xfId="0" applyFill="1" applyBorder="1" applyAlignment="1">
      <alignment horizontal="left"/>
    </xf>
    <xf numFmtId="49" fontId="4" fillId="8" borderId="1" xfId="0" applyNumberFormat="1" applyFont="1" applyFill="1" applyBorder="1" applyAlignment="1" applyProtection="1">
      <alignment horizontal="left"/>
      <protection locked="0"/>
    </xf>
    <xf numFmtId="0" fontId="0" fillId="3" borderId="1" xfId="0" applyFill="1" applyBorder="1"/>
    <xf numFmtId="0" fontId="0" fillId="11" borderId="1" xfId="0" applyFill="1" applyBorder="1"/>
    <xf numFmtId="0" fontId="1" fillId="0" borderId="1" xfId="0" applyFont="1" applyBorder="1"/>
    <xf numFmtId="0" fontId="0" fillId="11" borderId="5" xfId="0" applyFill="1" applyBorder="1"/>
    <xf numFmtId="10" fontId="0" fillId="0" borderId="1" xfId="0" applyNumberFormat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9" borderId="1" xfId="0" applyFill="1" applyBorder="1"/>
    <xf numFmtId="0" fontId="0" fillId="6" borderId="6" xfId="0" applyFill="1" applyBorder="1"/>
    <xf numFmtId="0" fontId="1" fillId="0" borderId="5" xfId="0" applyFont="1" applyBorder="1"/>
    <xf numFmtId="0" fontId="0" fillId="7" borderId="5" xfId="0" applyFill="1" applyBorder="1" applyAlignment="1">
      <alignment horizontal="left"/>
    </xf>
    <xf numFmtId="0" fontId="0" fillId="6" borderId="4" xfId="0" applyFill="1" applyBorder="1"/>
    <xf numFmtId="0" fontId="0" fillId="10" borderId="4" xfId="0" applyFill="1" applyBorder="1" applyAlignment="1">
      <alignment horizontal="left"/>
    </xf>
    <xf numFmtId="0" fontId="0" fillId="0" borderId="7" xfId="0" applyBorder="1"/>
    <xf numFmtId="0" fontId="0" fillId="9" borderId="4" xfId="0" applyFill="1" applyBorder="1"/>
    <xf numFmtId="0" fontId="0" fillId="8" borderId="4" xfId="0" applyFill="1" applyBorder="1" applyAlignment="1">
      <alignment horizontal="left"/>
    </xf>
    <xf numFmtId="0" fontId="0" fillId="8" borderId="1" xfId="0" applyFill="1" applyBorder="1"/>
    <xf numFmtId="0" fontId="0" fillId="8" borderId="5" xfId="0" applyFill="1" applyBorder="1" applyAlignment="1">
      <alignment horizontal="left"/>
    </xf>
    <xf numFmtId="0" fontId="0" fillId="8" borderId="4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49" fontId="4" fillId="10" borderId="6" xfId="0" applyNumberFormat="1" applyFont="1" applyFill="1" applyBorder="1" applyAlignment="1" applyProtection="1">
      <alignment horizontal="left"/>
      <protection locked="0"/>
    </xf>
    <xf numFmtId="0" fontId="0" fillId="4" borderId="4" xfId="0" applyFill="1" applyBorder="1"/>
    <xf numFmtId="0" fontId="1" fillId="0" borderId="7" xfId="0" applyFont="1" applyBorder="1"/>
    <xf numFmtId="0" fontId="0" fillId="8" borderId="5" xfId="0" applyFill="1" applyBorder="1"/>
    <xf numFmtId="0" fontId="2" fillId="2" borderId="8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/>
    <xf numFmtId="0" fontId="0" fillId="0" borderId="3" xfId="0" applyBorder="1"/>
    <xf numFmtId="0" fontId="1" fillId="4" borderId="6" xfId="0" applyFont="1" applyFill="1" applyBorder="1" applyAlignment="1">
      <alignment horizontal="left"/>
    </xf>
    <xf numFmtId="0" fontId="0" fillId="8" borderId="6" xfId="0" applyFill="1" applyBorder="1"/>
    <xf numFmtId="0" fontId="0" fillId="9" borderId="6" xfId="0" applyFill="1" applyBorder="1" applyAlignment="1">
      <alignment horizontal="left"/>
    </xf>
    <xf numFmtId="0" fontId="0" fillId="0" borderId="10" xfId="0" applyBorder="1"/>
    <xf numFmtId="49" fontId="4" fillId="7" borderId="5" xfId="0" applyNumberFormat="1" applyFont="1" applyFill="1" applyBorder="1" applyAlignment="1" applyProtection="1">
      <alignment horizontal="left"/>
      <protection locked="0"/>
    </xf>
    <xf numFmtId="49" fontId="4" fillId="0" borderId="5" xfId="0" applyNumberFormat="1" applyFont="1" applyBorder="1" applyAlignment="1" applyProtection="1">
      <alignment horizontal="left"/>
      <protection locked="0"/>
    </xf>
    <xf numFmtId="0" fontId="0" fillId="0" borderId="11" xfId="0" applyBorder="1"/>
    <xf numFmtId="0" fontId="0" fillId="0" borderId="4" xfId="0" applyBorder="1" applyAlignment="1">
      <alignment horizontal="left"/>
    </xf>
    <xf numFmtId="0" fontId="0" fillId="0" borderId="12" xfId="0" applyBorder="1"/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5" fillId="8" borderId="4" xfId="0" applyNumberFormat="1" applyFont="1" applyFill="1" applyBorder="1" applyAlignment="1" applyProtection="1">
      <alignment horizontal="left"/>
      <protection locked="0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C013-D7F5-4AC6-9B06-D7411C2AF996}">
  <dimension ref="A1:I46"/>
  <sheetViews>
    <sheetView tabSelected="1" topLeftCell="A9" workbookViewId="0">
      <selection activeCell="F31" sqref="F31"/>
    </sheetView>
  </sheetViews>
  <sheetFormatPr baseColWidth="10" defaultRowHeight="14.4" x14ac:dyDescent="0.3"/>
  <cols>
    <col min="2" max="2" width="20.44140625" customWidth="1"/>
    <col min="3" max="3" width="15.21875" customWidth="1"/>
    <col min="4" max="4" width="25.77734375" customWidth="1"/>
    <col min="5" max="5" width="18.33203125" customWidth="1"/>
    <col min="6" max="6" width="42.5546875" customWidth="1"/>
    <col min="7" max="7" width="15.5546875" customWidth="1"/>
  </cols>
  <sheetData>
    <row r="1" spans="1:9" ht="15.6" x14ac:dyDescent="0.3">
      <c r="A1" s="1" t="s">
        <v>0</v>
      </c>
      <c r="B1" s="61" t="s">
        <v>1</v>
      </c>
      <c r="C1" s="62"/>
      <c r="D1" s="61" t="s">
        <v>2</v>
      </c>
      <c r="E1" s="62"/>
      <c r="F1" s="44" t="s">
        <v>82</v>
      </c>
      <c r="G1" s="61" t="s">
        <v>36</v>
      </c>
      <c r="H1" s="62"/>
    </row>
    <row r="2" spans="1:9" ht="15.6" x14ac:dyDescent="0.3">
      <c r="A2" s="2"/>
      <c r="B2" s="3" t="s">
        <v>3</v>
      </c>
      <c r="C2" s="3" t="s">
        <v>4</v>
      </c>
      <c r="D2" s="4" t="s">
        <v>5</v>
      </c>
      <c r="E2" s="4" t="s">
        <v>6</v>
      </c>
      <c r="F2" s="49"/>
      <c r="G2" s="18" t="s">
        <v>37</v>
      </c>
      <c r="H2" s="18" t="s">
        <v>38</v>
      </c>
    </row>
    <row r="3" spans="1:9" x14ac:dyDescent="0.3">
      <c r="A3" s="5" t="s">
        <v>7</v>
      </c>
      <c r="B3" s="9" t="s">
        <v>21</v>
      </c>
      <c r="C3" s="9" t="s">
        <v>21</v>
      </c>
      <c r="D3" s="10" t="s">
        <v>21</v>
      </c>
      <c r="E3" s="45" t="s">
        <v>21</v>
      </c>
      <c r="F3" s="9" t="s">
        <v>83</v>
      </c>
      <c r="G3" s="48">
        <v>3</v>
      </c>
      <c r="H3" s="9">
        <v>100</v>
      </c>
    </row>
    <row r="4" spans="1:9" x14ac:dyDescent="0.3">
      <c r="A4" s="5" t="s">
        <v>8</v>
      </c>
      <c r="B4" s="9" t="s">
        <v>22</v>
      </c>
      <c r="C4" s="9" t="s">
        <v>21</v>
      </c>
      <c r="D4" s="11" t="s">
        <v>23</v>
      </c>
      <c r="E4" s="45"/>
      <c r="F4" s="45"/>
      <c r="G4" s="9">
        <v>1</v>
      </c>
      <c r="H4" s="9">
        <v>33.33</v>
      </c>
    </row>
    <row r="5" spans="1:9" x14ac:dyDescent="0.3">
      <c r="A5" s="5" t="s">
        <v>9</v>
      </c>
      <c r="B5" s="9" t="s">
        <v>21</v>
      </c>
      <c r="C5" s="9" t="s">
        <v>21</v>
      </c>
      <c r="D5" s="9" t="s">
        <v>24</v>
      </c>
      <c r="E5" s="9" t="s">
        <v>24</v>
      </c>
      <c r="F5" s="9"/>
      <c r="G5" s="9">
        <v>2</v>
      </c>
      <c r="H5" s="9">
        <v>66.67</v>
      </c>
    </row>
    <row r="6" spans="1:9" x14ac:dyDescent="0.3">
      <c r="A6" s="5" t="s">
        <v>10</v>
      </c>
      <c r="B6" s="9" t="s">
        <v>21</v>
      </c>
      <c r="C6" s="9" t="s">
        <v>22</v>
      </c>
      <c r="D6" s="14" t="s">
        <v>25</v>
      </c>
      <c r="E6" s="9"/>
      <c r="F6" s="9"/>
      <c r="G6" s="9">
        <v>3</v>
      </c>
      <c r="H6" s="9">
        <v>100</v>
      </c>
    </row>
    <row r="7" spans="1:9" x14ac:dyDescent="0.3">
      <c r="A7" s="5" t="s">
        <v>11</v>
      </c>
      <c r="B7" s="9" t="s">
        <v>22</v>
      </c>
      <c r="C7" s="9" t="s">
        <v>21</v>
      </c>
      <c r="D7" s="16"/>
      <c r="E7" s="9"/>
      <c r="F7" s="9"/>
      <c r="G7" s="9">
        <v>1</v>
      </c>
      <c r="H7" s="9">
        <v>33.33</v>
      </c>
    </row>
    <row r="8" spans="1:9" x14ac:dyDescent="0.3">
      <c r="A8" s="5" t="s">
        <v>12</v>
      </c>
      <c r="B8" s="9" t="s">
        <v>22</v>
      </c>
      <c r="C8" s="9" t="s">
        <v>21</v>
      </c>
      <c r="D8" s="17" t="s">
        <v>26</v>
      </c>
      <c r="E8" s="9"/>
      <c r="F8" s="9"/>
      <c r="G8" s="48">
        <v>0</v>
      </c>
      <c r="H8" s="9">
        <v>0</v>
      </c>
    </row>
    <row r="9" spans="1:9" ht="15" thickBot="1" x14ac:dyDescent="0.35">
      <c r="A9" s="6" t="s">
        <v>13</v>
      </c>
      <c r="B9" s="13" t="s">
        <v>21</v>
      </c>
      <c r="C9" s="13" t="s">
        <v>22</v>
      </c>
      <c r="D9" s="60" t="s">
        <v>25</v>
      </c>
      <c r="E9" s="13"/>
      <c r="F9" s="13"/>
      <c r="G9" s="57">
        <v>1</v>
      </c>
      <c r="H9" s="13">
        <v>33.33</v>
      </c>
    </row>
    <row r="10" spans="1:9" x14ac:dyDescent="0.3">
      <c r="A10" s="7" t="s">
        <v>14</v>
      </c>
      <c r="B10" s="15" t="s">
        <v>27</v>
      </c>
      <c r="C10" s="15" t="s">
        <v>27</v>
      </c>
      <c r="D10" s="35" t="s">
        <v>28</v>
      </c>
      <c r="E10" s="15" t="s">
        <v>29</v>
      </c>
      <c r="F10" s="15" t="s">
        <v>86</v>
      </c>
      <c r="G10" s="55">
        <v>2</v>
      </c>
      <c r="H10" s="15">
        <v>66.67</v>
      </c>
    </row>
    <row r="11" spans="1:9" x14ac:dyDescent="0.3">
      <c r="A11" s="8" t="s">
        <v>15</v>
      </c>
      <c r="B11" s="9" t="s">
        <v>30</v>
      </c>
      <c r="C11" s="9" t="s">
        <v>30</v>
      </c>
      <c r="D11" s="9" t="s">
        <v>24</v>
      </c>
      <c r="E11" s="9" t="s">
        <v>24</v>
      </c>
      <c r="F11" s="9"/>
      <c r="G11" s="48">
        <v>2</v>
      </c>
      <c r="H11" s="9">
        <v>66.67</v>
      </c>
    </row>
    <row r="12" spans="1:9" x14ac:dyDescent="0.3">
      <c r="A12" s="8" t="s">
        <v>16</v>
      </c>
      <c r="B12" s="9" t="s">
        <v>31</v>
      </c>
      <c r="C12" s="9" t="s">
        <v>22</v>
      </c>
      <c r="D12" s="16"/>
      <c r="E12" s="9"/>
      <c r="F12" s="9"/>
      <c r="G12" s="48">
        <v>2</v>
      </c>
      <c r="H12" s="9">
        <v>66.67</v>
      </c>
    </row>
    <row r="13" spans="1:9" x14ac:dyDescent="0.3">
      <c r="A13" s="8" t="s">
        <v>17</v>
      </c>
      <c r="B13" s="9" t="s">
        <v>32</v>
      </c>
      <c r="C13" s="9" t="s">
        <v>32</v>
      </c>
      <c r="D13" s="14" t="s">
        <v>33</v>
      </c>
      <c r="E13" s="9"/>
      <c r="F13" s="9"/>
      <c r="G13" s="48">
        <v>2</v>
      </c>
      <c r="H13" s="9">
        <v>66.67</v>
      </c>
    </row>
    <row r="14" spans="1:9" x14ac:dyDescent="0.3">
      <c r="A14" s="8" t="s">
        <v>18</v>
      </c>
      <c r="B14" s="9" t="s">
        <v>34</v>
      </c>
      <c r="C14" s="9" t="s">
        <v>31</v>
      </c>
      <c r="D14" s="16" t="s">
        <v>35</v>
      </c>
      <c r="E14" s="9"/>
      <c r="F14" s="9"/>
      <c r="G14" s="9">
        <v>2</v>
      </c>
      <c r="H14" s="9">
        <v>66.67</v>
      </c>
    </row>
    <row r="15" spans="1:9" x14ac:dyDescent="0.3">
      <c r="A15" s="26" t="s">
        <v>19</v>
      </c>
      <c r="B15" s="9" t="s">
        <v>31</v>
      </c>
      <c r="C15" s="9" t="s">
        <v>31</v>
      </c>
      <c r="D15" s="16"/>
      <c r="E15" s="9"/>
      <c r="F15" s="12"/>
      <c r="G15" s="12">
        <v>2</v>
      </c>
      <c r="H15" s="12">
        <v>66.67</v>
      </c>
    </row>
    <row r="16" spans="1:9" s="31" customFormat="1" ht="15" thickBot="1" x14ac:dyDescent="0.35">
      <c r="A16" s="29" t="s">
        <v>20</v>
      </c>
      <c r="B16" s="13" t="s">
        <v>31</v>
      </c>
      <c r="C16" s="13" t="s">
        <v>31</v>
      </c>
      <c r="D16" s="30"/>
      <c r="E16" s="13"/>
      <c r="F16" s="13"/>
      <c r="G16" s="13">
        <v>3</v>
      </c>
      <c r="H16" s="13">
        <v>100</v>
      </c>
      <c r="I16" s="42">
        <v>61.905714285714275</v>
      </c>
    </row>
    <row r="17" spans="1:9" x14ac:dyDescent="0.3">
      <c r="A17" s="21" t="s">
        <v>39</v>
      </c>
      <c r="B17" s="27" t="s">
        <v>22</v>
      </c>
      <c r="C17" s="27" t="s">
        <v>22</v>
      </c>
      <c r="D17" s="28" t="s">
        <v>40</v>
      </c>
      <c r="E17" s="46" t="s">
        <v>40</v>
      </c>
      <c r="F17" s="47" t="s">
        <v>84</v>
      </c>
      <c r="G17" s="15">
        <v>6</v>
      </c>
      <c r="H17" s="15">
        <v>100</v>
      </c>
    </row>
    <row r="18" spans="1:9" x14ac:dyDescent="0.3">
      <c r="A18" s="19" t="s">
        <v>41</v>
      </c>
      <c r="B18" s="20" t="s">
        <v>22</v>
      </c>
      <c r="C18" s="20" t="s">
        <v>22</v>
      </c>
      <c r="D18" s="10" t="s">
        <v>40</v>
      </c>
      <c r="E18" s="45" t="s">
        <v>40</v>
      </c>
      <c r="F18" s="45"/>
      <c r="G18" s="9">
        <v>6</v>
      </c>
      <c r="H18" s="9">
        <v>100</v>
      </c>
    </row>
    <row r="19" spans="1:9" x14ac:dyDescent="0.3">
      <c r="A19" s="19" t="s">
        <v>42</v>
      </c>
      <c r="B19" s="22" t="s">
        <v>43</v>
      </c>
      <c r="C19" s="9" t="s">
        <v>22</v>
      </c>
      <c r="D19" s="16"/>
      <c r="E19" s="45"/>
      <c r="F19" s="45"/>
      <c r="G19" s="9">
        <v>4</v>
      </c>
      <c r="H19" s="9">
        <v>66.67</v>
      </c>
    </row>
    <row r="20" spans="1:9" x14ac:dyDescent="0.3">
      <c r="A20" s="19" t="s">
        <v>44</v>
      </c>
      <c r="B20" s="9" t="s">
        <v>22</v>
      </c>
      <c r="C20" s="9" t="s">
        <v>22</v>
      </c>
      <c r="D20" s="11" t="s">
        <v>45</v>
      </c>
      <c r="E20" s="45" t="s">
        <v>29</v>
      </c>
      <c r="F20" s="45"/>
      <c r="G20" s="9">
        <v>1</v>
      </c>
      <c r="H20" s="9">
        <v>16.670000000000002</v>
      </c>
    </row>
    <row r="21" spans="1:9" x14ac:dyDescent="0.3">
      <c r="A21" s="19" t="s">
        <v>46</v>
      </c>
      <c r="B21" s="9" t="s">
        <v>43</v>
      </c>
      <c r="C21" s="9" t="s">
        <v>47</v>
      </c>
      <c r="D21" s="14" t="s">
        <v>28</v>
      </c>
      <c r="E21" s="45"/>
      <c r="F21" s="45"/>
      <c r="G21" s="9">
        <v>5</v>
      </c>
      <c r="H21" s="9">
        <v>83.33</v>
      </c>
    </row>
    <row r="22" spans="1:9" x14ac:dyDescent="0.3">
      <c r="A22" s="19" t="s">
        <v>48</v>
      </c>
      <c r="B22" s="9" t="s">
        <v>22</v>
      </c>
      <c r="C22" s="9" t="s">
        <v>22</v>
      </c>
      <c r="D22" s="23" t="s">
        <v>49</v>
      </c>
      <c r="E22" s="9"/>
      <c r="F22" s="9"/>
      <c r="G22" s="48">
        <v>4</v>
      </c>
      <c r="H22" s="9">
        <v>66.67</v>
      </c>
    </row>
    <row r="23" spans="1:9" x14ac:dyDescent="0.3">
      <c r="A23" s="19" t="s">
        <v>50</v>
      </c>
      <c r="B23" s="9" t="s">
        <v>22</v>
      </c>
      <c r="C23" s="9" t="s">
        <v>22</v>
      </c>
      <c r="D23" s="24"/>
      <c r="E23" s="9"/>
      <c r="F23" s="9"/>
      <c r="G23" s="48">
        <v>6</v>
      </c>
      <c r="H23" s="9">
        <v>100</v>
      </c>
    </row>
    <row r="24" spans="1:9" x14ac:dyDescent="0.3">
      <c r="A24" s="25" t="s">
        <v>51</v>
      </c>
      <c r="B24" s="20" t="s">
        <v>34</v>
      </c>
      <c r="C24" s="20" t="s">
        <v>34</v>
      </c>
      <c r="D24" s="10" t="s">
        <v>45</v>
      </c>
      <c r="E24" s="45" t="s">
        <v>52</v>
      </c>
      <c r="F24" s="9" t="s">
        <v>87</v>
      </c>
      <c r="G24" s="48">
        <v>6</v>
      </c>
      <c r="H24" s="9">
        <v>100</v>
      </c>
    </row>
    <row r="25" spans="1:9" x14ac:dyDescent="0.3">
      <c r="A25" s="25" t="s">
        <v>53</v>
      </c>
      <c r="B25" s="9" t="s">
        <v>34</v>
      </c>
      <c r="C25" s="9" t="s">
        <v>22</v>
      </c>
      <c r="D25" s="9" t="s">
        <v>24</v>
      </c>
      <c r="E25" s="9" t="s">
        <v>24</v>
      </c>
      <c r="F25" s="9"/>
      <c r="G25" s="48">
        <v>6</v>
      </c>
      <c r="H25" s="9">
        <v>100</v>
      </c>
    </row>
    <row r="26" spans="1:9" x14ac:dyDescent="0.3">
      <c r="A26" s="25" t="s">
        <v>54</v>
      </c>
      <c r="B26" s="9" t="s">
        <v>34</v>
      </c>
      <c r="C26" s="9" t="s">
        <v>34</v>
      </c>
      <c r="D26" s="16"/>
      <c r="E26" s="9"/>
      <c r="F26" s="9"/>
      <c r="G26" s="9">
        <v>5</v>
      </c>
      <c r="H26" s="9">
        <v>83.33</v>
      </c>
    </row>
    <row r="27" spans="1:9" x14ac:dyDescent="0.3">
      <c r="A27" s="25" t="s">
        <v>55</v>
      </c>
      <c r="B27" s="9" t="s">
        <v>34</v>
      </c>
      <c r="C27" s="9" t="s">
        <v>34</v>
      </c>
      <c r="D27" s="14" t="s">
        <v>28</v>
      </c>
      <c r="E27" s="9"/>
      <c r="F27" s="9"/>
      <c r="G27" s="9">
        <v>5</v>
      </c>
      <c r="H27" s="9">
        <v>83.33</v>
      </c>
    </row>
    <row r="28" spans="1:9" x14ac:dyDescent="0.3">
      <c r="A28" s="25" t="s">
        <v>56</v>
      </c>
      <c r="B28" s="9" t="s">
        <v>34</v>
      </c>
      <c r="C28" s="9" t="s">
        <v>34</v>
      </c>
      <c r="D28" s="14" t="s">
        <v>57</v>
      </c>
      <c r="E28" s="45"/>
      <c r="F28" s="45"/>
      <c r="G28" s="9">
        <v>3</v>
      </c>
      <c r="H28" s="9">
        <v>50</v>
      </c>
    </row>
    <row r="29" spans="1:9" x14ac:dyDescent="0.3">
      <c r="A29" s="25" t="s">
        <v>58</v>
      </c>
      <c r="B29" s="9" t="s">
        <v>34</v>
      </c>
      <c r="C29" s="9" t="s">
        <v>34</v>
      </c>
      <c r="D29" s="17" t="s">
        <v>26</v>
      </c>
      <c r="E29" s="45" t="s">
        <v>29</v>
      </c>
      <c r="F29" s="45"/>
      <c r="G29" s="9">
        <v>4</v>
      </c>
      <c r="H29" s="9">
        <v>66.67</v>
      </c>
    </row>
    <row r="30" spans="1:9" s="31" customFormat="1" ht="15" thickBot="1" x14ac:dyDescent="0.35">
      <c r="A30" s="32" t="s">
        <v>59</v>
      </c>
      <c r="B30" s="13" t="s">
        <v>34</v>
      </c>
      <c r="C30" s="13" t="s">
        <v>34</v>
      </c>
      <c r="D30" s="33" t="s">
        <v>60</v>
      </c>
      <c r="E30" s="13"/>
      <c r="F30" s="13"/>
      <c r="G30" s="13">
        <v>5</v>
      </c>
      <c r="H30" s="13">
        <v>83.33</v>
      </c>
      <c r="I30" s="42">
        <v>78.571428571428569</v>
      </c>
    </row>
    <row r="31" spans="1:9" x14ac:dyDescent="0.3">
      <c r="A31" s="43" t="s">
        <v>61</v>
      </c>
      <c r="B31" s="15" t="s">
        <v>62</v>
      </c>
      <c r="C31" s="15" t="s">
        <v>63</v>
      </c>
      <c r="D31" s="35" t="s">
        <v>28</v>
      </c>
      <c r="E31" s="46" t="s">
        <v>28</v>
      </c>
      <c r="F31" s="47" t="s">
        <v>85</v>
      </c>
      <c r="G31" s="9">
        <v>6</v>
      </c>
      <c r="H31" s="9">
        <v>85.71</v>
      </c>
    </row>
    <row r="32" spans="1:9" x14ac:dyDescent="0.3">
      <c r="A32" s="34" t="s">
        <v>64</v>
      </c>
      <c r="B32" s="9" t="s">
        <v>62</v>
      </c>
      <c r="C32" s="9" t="s">
        <v>65</v>
      </c>
      <c r="D32" s="11" t="s">
        <v>28</v>
      </c>
      <c r="E32" s="45" t="s">
        <v>28</v>
      </c>
      <c r="F32" s="45"/>
      <c r="G32" s="9">
        <v>4</v>
      </c>
      <c r="H32" s="9">
        <v>57.14</v>
      </c>
    </row>
    <row r="33" spans="1:9" x14ac:dyDescent="0.3">
      <c r="A33" s="34" t="s">
        <v>66</v>
      </c>
      <c r="B33" s="9" t="s">
        <v>62</v>
      </c>
      <c r="C33" s="9" t="s">
        <v>62</v>
      </c>
      <c r="D33" s="11" t="s">
        <v>40</v>
      </c>
      <c r="E33" s="45"/>
      <c r="F33" s="45"/>
      <c r="G33" s="9">
        <v>5</v>
      </c>
      <c r="H33" s="9">
        <v>71.430000000000007</v>
      </c>
    </row>
    <row r="34" spans="1:9" x14ac:dyDescent="0.3">
      <c r="A34" s="34" t="s">
        <v>67</v>
      </c>
      <c r="B34" s="9" t="s">
        <v>62</v>
      </c>
      <c r="C34" s="9" t="s">
        <v>34</v>
      </c>
      <c r="D34" s="14" t="s">
        <v>45</v>
      </c>
      <c r="E34" s="9"/>
      <c r="F34" s="9"/>
      <c r="G34" s="9">
        <v>1</v>
      </c>
      <c r="H34" s="9">
        <v>14.29</v>
      </c>
    </row>
    <row r="35" spans="1:9" x14ac:dyDescent="0.3">
      <c r="A35" s="34" t="s">
        <v>68</v>
      </c>
      <c r="B35" s="9" t="s">
        <v>31</v>
      </c>
      <c r="C35" s="9" t="s">
        <v>62</v>
      </c>
      <c r="D35" s="11" t="s">
        <v>23</v>
      </c>
      <c r="E35" s="45" t="s">
        <v>52</v>
      </c>
      <c r="F35" s="45"/>
      <c r="G35" s="9">
        <v>2</v>
      </c>
      <c r="H35" s="9">
        <v>28.57</v>
      </c>
    </row>
    <row r="36" spans="1:9" x14ac:dyDescent="0.3">
      <c r="A36" s="34" t="s">
        <v>69</v>
      </c>
      <c r="B36" s="9" t="s">
        <v>62</v>
      </c>
      <c r="C36" s="9" t="s">
        <v>62</v>
      </c>
      <c r="D36" s="16"/>
      <c r="E36" s="9"/>
      <c r="F36" s="9"/>
      <c r="G36" s="48">
        <v>3</v>
      </c>
      <c r="H36" s="9">
        <v>42.86</v>
      </c>
    </row>
    <row r="37" spans="1:9" x14ac:dyDescent="0.3">
      <c r="A37" s="50" t="s">
        <v>70</v>
      </c>
      <c r="B37" s="12" t="s">
        <v>62</v>
      </c>
      <c r="C37" s="12" t="s">
        <v>31</v>
      </c>
      <c r="D37" s="51" t="s">
        <v>25</v>
      </c>
      <c r="E37" s="12"/>
      <c r="F37" s="12"/>
      <c r="G37" s="52">
        <v>1</v>
      </c>
      <c r="H37" s="12">
        <v>14.29</v>
      </c>
    </row>
    <row r="38" spans="1:9" s="31" customFormat="1" ht="15" thickBot="1" x14ac:dyDescent="0.35">
      <c r="A38" s="36" t="s">
        <v>71</v>
      </c>
      <c r="B38" s="13" t="s">
        <v>62</v>
      </c>
      <c r="C38" s="13" t="s">
        <v>62</v>
      </c>
      <c r="D38" s="33" t="s">
        <v>40</v>
      </c>
      <c r="E38" s="56"/>
      <c r="F38" s="56"/>
      <c r="G38" s="57">
        <v>5</v>
      </c>
      <c r="H38" s="13">
        <v>71.430000000000007</v>
      </c>
      <c r="I38" s="58">
        <f>+AVERAGE(H31:H38)</f>
        <v>48.215000000000003</v>
      </c>
    </row>
    <row r="39" spans="1:9" x14ac:dyDescent="0.3">
      <c r="A39" s="37" t="s">
        <v>72</v>
      </c>
      <c r="B39" s="15" t="s">
        <v>65</v>
      </c>
      <c r="C39" s="15" t="s">
        <v>65</v>
      </c>
      <c r="D39" s="53" t="s">
        <v>26</v>
      </c>
      <c r="E39" s="54" t="s">
        <v>29</v>
      </c>
      <c r="F39" s="15" t="s">
        <v>85</v>
      </c>
      <c r="G39" s="55">
        <v>7</v>
      </c>
      <c r="H39" s="15">
        <v>100</v>
      </c>
      <c r="I39" s="59"/>
    </row>
    <row r="40" spans="1:9" x14ac:dyDescent="0.3">
      <c r="A40" s="38" t="s">
        <v>73</v>
      </c>
      <c r="B40" s="9" t="s">
        <v>65</v>
      </c>
      <c r="C40" s="9" t="s">
        <v>22</v>
      </c>
      <c r="D40" s="16"/>
      <c r="E40" s="9"/>
      <c r="F40" s="9"/>
      <c r="G40" s="48">
        <v>5</v>
      </c>
      <c r="H40" s="9">
        <v>71.430000000000007</v>
      </c>
      <c r="I40" s="59"/>
    </row>
    <row r="41" spans="1:9" x14ac:dyDescent="0.3">
      <c r="A41" s="38" t="s">
        <v>74</v>
      </c>
      <c r="B41" s="9" t="s">
        <v>65</v>
      </c>
      <c r="C41" s="9" t="s">
        <v>65</v>
      </c>
      <c r="D41" s="11" t="s">
        <v>75</v>
      </c>
      <c r="E41" s="9"/>
      <c r="F41" s="9"/>
      <c r="G41" s="9">
        <v>2</v>
      </c>
      <c r="H41" s="9">
        <v>28.57</v>
      </c>
      <c r="I41" s="59"/>
    </row>
    <row r="42" spans="1:9" x14ac:dyDescent="0.3">
      <c r="A42" s="38" t="s">
        <v>76</v>
      </c>
      <c r="B42" s="9" t="s">
        <v>65</v>
      </c>
      <c r="C42" s="9" t="s">
        <v>65</v>
      </c>
      <c r="D42" s="16" t="s">
        <v>75</v>
      </c>
      <c r="E42" s="9"/>
      <c r="F42" s="9"/>
      <c r="G42" s="9">
        <v>1</v>
      </c>
      <c r="H42" s="9">
        <v>14.29</v>
      </c>
      <c r="I42" s="59"/>
    </row>
    <row r="43" spans="1:9" x14ac:dyDescent="0.3">
      <c r="A43" s="38" t="s">
        <v>77</v>
      </c>
      <c r="B43" s="9" t="s">
        <v>65</v>
      </c>
      <c r="C43" s="9" t="s">
        <v>65</v>
      </c>
      <c r="D43" s="16"/>
      <c r="E43" s="9"/>
      <c r="F43" s="9"/>
      <c r="G43" s="9">
        <v>6</v>
      </c>
      <c r="H43" s="9">
        <v>85.71</v>
      </c>
      <c r="I43" s="59"/>
    </row>
    <row r="44" spans="1:9" x14ac:dyDescent="0.3">
      <c r="A44" s="38" t="s">
        <v>78</v>
      </c>
      <c r="B44" s="9" t="s">
        <v>22</v>
      </c>
      <c r="C44" s="9" t="s">
        <v>65</v>
      </c>
      <c r="D44" s="9"/>
      <c r="E44" s="9"/>
      <c r="F44" s="9"/>
      <c r="G44" s="9">
        <v>1</v>
      </c>
      <c r="H44" s="9">
        <v>14.29</v>
      </c>
      <c r="I44" s="59"/>
    </row>
    <row r="45" spans="1:9" x14ac:dyDescent="0.3">
      <c r="A45" s="39" t="s">
        <v>79</v>
      </c>
      <c r="B45" s="12" t="s">
        <v>22</v>
      </c>
      <c r="C45" s="12" t="s">
        <v>65</v>
      </c>
      <c r="D45" s="40" t="s">
        <v>80</v>
      </c>
      <c r="E45" s="12"/>
      <c r="F45" s="12"/>
      <c r="G45" s="9">
        <v>4</v>
      </c>
      <c r="H45" s="9">
        <v>57.14</v>
      </c>
      <c r="I45" s="59"/>
    </row>
    <row r="46" spans="1:9" s="31" customFormat="1" ht="15" thickBot="1" x14ac:dyDescent="0.35">
      <c r="A46" s="41" t="s">
        <v>81</v>
      </c>
      <c r="B46" s="13" t="s">
        <v>31</v>
      </c>
      <c r="C46" s="13" t="s">
        <v>65</v>
      </c>
      <c r="D46" s="30"/>
      <c r="E46" s="13"/>
      <c r="F46" s="13"/>
      <c r="G46" s="13">
        <v>2</v>
      </c>
      <c r="H46" s="13">
        <v>28.57</v>
      </c>
      <c r="I46" s="58">
        <f>+AVERAGE(H39:H46)</f>
        <v>50</v>
      </c>
    </row>
  </sheetData>
  <mergeCells count="3">
    <mergeCell ref="B1:C1"/>
    <mergeCell ref="D1:E1"/>
    <mergeCell ref="G1:H1"/>
  </mergeCells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3d0f882-8463-4fc8-8c93-fe9e190ec3f5}" enabled="1" method="Standard" siteId="{7c07b8b6-a28d-424b-8eb6-3de456e898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 Melanie</dc:creator>
  <cp:lastModifiedBy>JANK Melanie</cp:lastModifiedBy>
  <dcterms:created xsi:type="dcterms:W3CDTF">2026-07-02T06:08:13Z</dcterms:created>
  <dcterms:modified xsi:type="dcterms:W3CDTF">2026-07-02T07:45:20Z</dcterms:modified>
</cp:coreProperties>
</file>