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roma\Flavor Development\Portfolio Management\K_AI\"/>
    </mc:Choice>
  </mc:AlternateContent>
  <xr:revisionPtr revIDLastSave="0" documentId="13_ncr:1_{808DF6E1-8E60-4B0D-876E-815D1599CEE7}" xr6:coauthVersionLast="47" xr6:coauthVersionMax="47" xr10:uidLastSave="{00000000-0000-0000-0000-000000000000}"/>
  <bookViews>
    <workbookView xWindow="30612" yWindow="-108" windowWidth="30936" windowHeight="16776" activeTab="2" xr2:uid="{D654AB32-EC17-4BD6-ABC6-D6BA81AC84AA}"/>
  </bookViews>
  <sheets>
    <sheet name="Übersicht Score Index" sheetId="2" r:id="rId1"/>
    <sheet name="Rezepte" sheetId="1" r:id="rId2"/>
    <sheet name="Rezepte_Scoring" sheetId="4" r:id="rId3"/>
    <sheet name="Rohstoffe_im_Cluster_Scoring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1" i="4" l="1"/>
  <c r="G11" i="4"/>
  <c r="F11" i="4"/>
  <c r="E11" i="4"/>
  <c r="D11" i="4"/>
  <c r="C11" i="4"/>
  <c r="B11" i="4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3" i="1"/>
  <c r="AJ4" i="1" l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3" i="1"/>
  <c r="G80" i="1"/>
  <c r="K80" i="1"/>
  <c r="P81" i="1"/>
  <c r="O80" i="1"/>
  <c r="AE80" i="1"/>
  <c r="AA80" i="1"/>
  <c r="X81" i="1"/>
  <c r="W80" i="1"/>
  <c r="W81" i="1"/>
  <c r="T80" i="1"/>
  <c r="T81" i="1"/>
  <c r="S80" i="1"/>
  <c r="S81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3" i="1"/>
  <c r="AB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3" i="1"/>
  <c r="H10" i="4" l="1"/>
  <c r="C10" i="4"/>
  <c r="D10" i="4"/>
  <c r="B10" i="4"/>
  <c r="E10" i="4"/>
  <c r="F10" i="4"/>
  <c r="G10" i="4"/>
  <c r="H9" i="4"/>
  <c r="B9" i="4"/>
  <c r="D9" i="4"/>
  <c r="C9" i="4"/>
  <c r="E9" i="4"/>
  <c r="F9" i="4"/>
  <c r="G9" i="4"/>
  <c r="AB4" i="1" l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X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3" i="1"/>
  <c r="C8" i="4" l="1"/>
  <c r="B8" i="4"/>
  <c r="D8" i="4"/>
  <c r="E8" i="4"/>
  <c r="F8" i="4"/>
  <c r="H8" i="4"/>
  <c r="G8" i="4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T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3" i="1"/>
  <c r="C6" i="4"/>
  <c r="G37" i="1"/>
  <c r="H37" i="1"/>
  <c r="K37" i="1"/>
  <c r="L37" i="1"/>
  <c r="O37" i="1"/>
  <c r="P37" i="1"/>
  <c r="S37" i="1"/>
  <c r="T37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P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3" i="1"/>
  <c r="O3" i="1"/>
  <c r="AQ37" i="1" l="1"/>
  <c r="AR37" i="1"/>
  <c r="AP37" i="1"/>
  <c r="D6" i="4"/>
  <c r="H7" i="4"/>
  <c r="B7" i="4"/>
  <c r="C7" i="4"/>
  <c r="D7" i="4"/>
  <c r="E7" i="4"/>
  <c r="F7" i="4"/>
  <c r="G7" i="4"/>
  <c r="E6" i="4"/>
  <c r="B6" i="4"/>
  <c r="F6" i="4"/>
  <c r="H6" i="4"/>
  <c r="G6" i="4"/>
  <c r="P4" i="1" l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G63" i="1"/>
  <c r="K63" i="1"/>
  <c r="O63" i="1"/>
  <c r="G3" i="1"/>
  <c r="D3" i="4" l="1"/>
  <c r="E5" i="4"/>
  <c r="F4" i="4"/>
  <c r="G4" i="4"/>
  <c r="H4" i="4"/>
  <c r="D4" i="4"/>
  <c r="H5" i="4"/>
  <c r="F5" i="4"/>
  <c r="D5" i="4"/>
  <c r="B5" i="4"/>
  <c r="G5" i="4"/>
  <c r="C5" i="4"/>
  <c r="B4" i="4"/>
  <c r="H3" i="4"/>
  <c r="C4" i="4"/>
  <c r="C3" i="4"/>
  <c r="E3" i="4"/>
  <c r="E4" i="4"/>
  <c r="F3" i="4"/>
  <c r="B3" i="4"/>
  <c r="G3" i="4"/>
  <c r="AP63" i="1"/>
  <c r="AR63" i="1"/>
  <c r="AQ63" i="1"/>
  <c r="AP3" i="1" l="1"/>
  <c r="O9" i="1" l="1"/>
  <c r="O4" i="1"/>
  <c r="O5" i="1"/>
  <c r="O6" i="1"/>
  <c r="O7" i="1"/>
  <c r="O8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3" i="1"/>
  <c r="G227" i="1"/>
  <c r="G226" i="1"/>
  <c r="G225" i="1"/>
  <c r="G224" i="1"/>
  <c r="G223" i="1"/>
  <c r="G222" i="1"/>
  <c r="G221" i="1"/>
  <c r="AR221" i="1" s="1"/>
  <c r="E221" i="3" s="1"/>
  <c r="G220" i="1"/>
  <c r="G219" i="1"/>
  <c r="G218" i="1"/>
  <c r="G217" i="1"/>
  <c r="G216" i="1"/>
  <c r="G215" i="1"/>
  <c r="G214" i="1"/>
  <c r="AR214" i="1" s="1"/>
  <c r="G213" i="1"/>
  <c r="G212" i="1"/>
  <c r="G211" i="1"/>
  <c r="G210" i="1"/>
  <c r="G209" i="1"/>
  <c r="G208" i="1"/>
  <c r="G207" i="1"/>
  <c r="AP207" i="1" s="1"/>
  <c r="C207" i="3" s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AR193" i="1" s="1"/>
  <c r="E193" i="3" s="1"/>
  <c r="G192" i="1"/>
  <c r="G191" i="1"/>
  <c r="G190" i="1"/>
  <c r="G189" i="1"/>
  <c r="G188" i="1"/>
  <c r="G187" i="1"/>
  <c r="G186" i="1"/>
  <c r="AR186" i="1" s="1"/>
  <c r="G185" i="1"/>
  <c r="G184" i="1"/>
  <c r="G183" i="1"/>
  <c r="G182" i="1"/>
  <c r="G181" i="1"/>
  <c r="G180" i="1"/>
  <c r="G179" i="1"/>
  <c r="AQ179" i="1" s="1"/>
  <c r="D179" i="3" s="1"/>
  <c r="G178" i="1"/>
  <c r="G177" i="1"/>
  <c r="G176" i="1"/>
  <c r="G175" i="1"/>
  <c r="G174" i="1"/>
  <c r="G173" i="1"/>
  <c r="G172" i="1"/>
  <c r="AP172" i="1" s="1"/>
  <c r="G171" i="1"/>
  <c r="G170" i="1"/>
  <c r="G169" i="1"/>
  <c r="G168" i="1"/>
  <c r="G167" i="1"/>
  <c r="G166" i="1"/>
  <c r="G165" i="1"/>
  <c r="AQ165" i="1" s="1"/>
  <c r="G164" i="1"/>
  <c r="G163" i="1"/>
  <c r="G162" i="1"/>
  <c r="G161" i="1"/>
  <c r="G160" i="1"/>
  <c r="G159" i="1"/>
  <c r="G158" i="1"/>
  <c r="AQ158" i="1" s="1"/>
  <c r="S158" i="3" s="1"/>
  <c r="G157" i="1"/>
  <c r="G156" i="1"/>
  <c r="G155" i="1"/>
  <c r="G154" i="1"/>
  <c r="G153" i="1"/>
  <c r="G152" i="1"/>
  <c r="G151" i="1"/>
  <c r="AP151" i="1" s="1"/>
  <c r="G150" i="1"/>
  <c r="G149" i="1"/>
  <c r="G148" i="1"/>
  <c r="G147" i="1"/>
  <c r="G146" i="1"/>
  <c r="G145" i="1"/>
  <c r="G144" i="1"/>
  <c r="AR144" i="1" s="1"/>
  <c r="G143" i="1"/>
  <c r="G142" i="1"/>
  <c r="G141" i="1"/>
  <c r="G140" i="1"/>
  <c r="G139" i="1"/>
  <c r="G138" i="1"/>
  <c r="G137" i="1"/>
  <c r="AP137" i="1" s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AR109" i="1" s="1"/>
  <c r="E108" i="3" s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AR3" i="1" l="1"/>
  <c r="W3" i="3" s="1"/>
  <c r="AP103" i="1"/>
  <c r="F102" i="3" s="1"/>
  <c r="AR131" i="1"/>
  <c r="N130" i="3" s="1"/>
  <c r="AR4" i="1"/>
  <c r="T4" i="3" s="1"/>
  <c r="AR60" i="1"/>
  <c r="T60" i="3" s="1"/>
  <c r="AP11" i="1"/>
  <c r="C11" i="3" s="1"/>
  <c r="AQ25" i="1"/>
  <c r="S25" i="3" s="1"/>
  <c r="AQ39" i="1"/>
  <c r="M39" i="3" s="1"/>
  <c r="AR53" i="1"/>
  <c r="E53" i="3" s="1"/>
  <c r="AP67" i="1"/>
  <c r="AP82" i="1"/>
  <c r="I81" i="3" s="1"/>
  <c r="AR96" i="1"/>
  <c r="AQ110" i="1"/>
  <c r="D109" i="3" s="1"/>
  <c r="AP124" i="1"/>
  <c r="R123" i="3" s="1"/>
  <c r="AP94" i="1"/>
  <c r="R93" i="3" s="1"/>
  <c r="AR9" i="1"/>
  <c r="E9" i="3" s="1"/>
  <c r="AQ12" i="1"/>
  <c r="D12" i="3" s="1"/>
  <c r="AR167" i="1"/>
  <c r="K167" i="3" s="1"/>
  <c r="AR107" i="1"/>
  <c r="AR69" i="1"/>
  <c r="N69" i="3" s="1"/>
  <c r="AR126" i="1"/>
  <c r="H125" i="3" s="1"/>
  <c r="AR182" i="1"/>
  <c r="H182" i="3" s="1"/>
  <c r="AQ210" i="1"/>
  <c r="V210" i="3" s="1"/>
  <c r="AQ56" i="1"/>
  <c r="AQ211" i="1"/>
  <c r="S211" i="3" s="1"/>
  <c r="AQ16" i="1"/>
  <c r="M16" i="3" s="1"/>
  <c r="V158" i="3"/>
  <c r="L207" i="3"/>
  <c r="AP179" i="1"/>
  <c r="AQ96" i="1"/>
  <c r="G95" i="3" s="1"/>
  <c r="AP165" i="1"/>
  <c r="I165" i="3" s="1"/>
  <c r="AP96" i="1"/>
  <c r="L95" i="3" s="1"/>
  <c r="AR25" i="1"/>
  <c r="E25" i="3" s="1"/>
  <c r="Q193" i="3"/>
  <c r="AR151" i="1"/>
  <c r="N151" i="3" s="1"/>
  <c r="AP25" i="1"/>
  <c r="C25" i="3" s="1"/>
  <c r="AQ151" i="1"/>
  <c r="P151" i="3" s="1"/>
  <c r="AR179" i="1"/>
  <c r="E179" i="3" s="1"/>
  <c r="AQ53" i="1"/>
  <c r="D53" i="3" s="1"/>
  <c r="AP53" i="1"/>
  <c r="AR39" i="1"/>
  <c r="W39" i="3" s="1"/>
  <c r="AR82" i="1"/>
  <c r="E81" i="3" s="1"/>
  <c r="AQ82" i="1"/>
  <c r="AR12" i="1"/>
  <c r="K12" i="3" s="1"/>
  <c r="AR137" i="1"/>
  <c r="AQ221" i="1"/>
  <c r="AQ137" i="1"/>
  <c r="AR67" i="1"/>
  <c r="W67" i="3" s="1"/>
  <c r="AR11" i="1"/>
  <c r="AR20" i="1"/>
  <c r="E20" i="3" s="1"/>
  <c r="AP48" i="1"/>
  <c r="AP62" i="1"/>
  <c r="U62" i="3" s="1"/>
  <c r="AP76" i="1"/>
  <c r="AP91" i="1"/>
  <c r="AP105" i="1"/>
  <c r="I104" i="3" s="1"/>
  <c r="AR160" i="1"/>
  <c r="N160" i="3" s="1"/>
  <c r="AP174" i="1"/>
  <c r="I174" i="3" s="1"/>
  <c r="AR188" i="1"/>
  <c r="K188" i="3" s="1"/>
  <c r="AR202" i="1"/>
  <c r="E202" i="3" s="1"/>
  <c r="AQ216" i="1"/>
  <c r="G216" i="3" s="1"/>
  <c r="AP226" i="1"/>
  <c r="I226" i="3" s="1"/>
  <c r="AQ212" i="1"/>
  <c r="J212" i="3" s="1"/>
  <c r="AQ198" i="1"/>
  <c r="S198" i="3" s="1"/>
  <c r="AP184" i="1"/>
  <c r="R184" i="3" s="1"/>
  <c r="AQ170" i="1"/>
  <c r="G170" i="3" s="1"/>
  <c r="AP156" i="1"/>
  <c r="AQ142" i="1"/>
  <c r="J142" i="3" s="1"/>
  <c r="AP87" i="1"/>
  <c r="I86" i="3" s="1"/>
  <c r="AQ72" i="1"/>
  <c r="J72" i="3" s="1"/>
  <c r="AQ44" i="1"/>
  <c r="M44" i="3" s="1"/>
  <c r="AP30" i="1"/>
  <c r="F30" i="3" s="1"/>
  <c r="AP16" i="1"/>
  <c r="F16" i="3" s="1"/>
  <c r="AP221" i="1"/>
  <c r="R221" i="3" s="1"/>
  <c r="AQ67" i="1"/>
  <c r="J67" i="3" s="1"/>
  <c r="AQ11" i="1"/>
  <c r="AR207" i="1"/>
  <c r="T207" i="3" s="1"/>
  <c r="AP36" i="1"/>
  <c r="R36" i="3" s="1"/>
  <c r="AP78" i="1"/>
  <c r="O78" i="3" s="1"/>
  <c r="AQ193" i="1"/>
  <c r="AR56" i="1"/>
  <c r="T56" i="3" s="1"/>
  <c r="AQ9" i="1"/>
  <c r="P9" i="3" s="1"/>
  <c r="AP122" i="1"/>
  <c r="R121" i="3" s="1"/>
  <c r="AR209" i="1"/>
  <c r="E209" i="3" s="1"/>
  <c r="AQ195" i="1"/>
  <c r="V195" i="3" s="1"/>
  <c r="AQ153" i="1"/>
  <c r="D153" i="3" s="1"/>
  <c r="AP126" i="1"/>
  <c r="O125" i="3" s="1"/>
  <c r="AR112" i="1"/>
  <c r="N111" i="3" s="1"/>
  <c r="AQ84" i="1"/>
  <c r="J83" i="3" s="1"/>
  <c r="AP69" i="1"/>
  <c r="F69" i="3" s="1"/>
  <c r="AQ41" i="1"/>
  <c r="G41" i="3" s="1"/>
  <c r="AP27" i="1"/>
  <c r="R27" i="3" s="1"/>
  <c r="AP193" i="1"/>
  <c r="R193" i="3" s="1"/>
  <c r="AR110" i="1"/>
  <c r="N109" i="3" s="1"/>
  <c r="AR150" i="1"/>
  <c r="E150" i="3" s="1"/>
  <c r="AP110" i="1"/>
  <c r="L109" i="3" s="1"/>
  <c r="M165" i="3"/>
  <c r="AQ184" i="1"/>
  <c r="P184" i="3" s="1"/>
  <c r="AP168" i="1"/>
  <c r="AQ168" i="1"/>
  <c r="M168" i="3" s="1"/>
  <c r="AP115" i="1"/>
  <c r="R114" i="3" s="1"/>
  <c r="AP170" i="1"/>
  <c r="AQ35" i="1"/>
  <c r="S63" i="3"/>
  <c r="AQ92" i="1"/>
  <c r="G91" i="3" s="1"/>
  <c r="AQ106" i="1"/>
  <c r="D105" i="3" s="1"/>
  <c r="AP120" i="1"/>
  <c r="C119" i="3" s="1"/>
  <c r="AQ189" i="1"/>
  <c r="AQ225" i="1"/>
  <c r="J225" i="3" s="1"/>
  <c r="AR211" i="1"/>
  <c r="H211" i="3" s="1"/>
  <c r="AP183" i="1"/>
  <c r="AP155" i="1"/>
  <c r="AP141" i="1"/>
  <c r="AP128" i="1"/>
  <c r="AQ114" i="1"/>
  <c r="D113" i="3" s="1"/>
  <c r="AP100" i="1"/>
  <c r="I99" i="3" s="1"/>
  <c r="AP71" i="1"/>
  <c r="L71" i="3" s="1"/>
  <c r="AP57" i="1"/>
  <c r="O57" i="3" s="1"/>
  <c r="AP43" i="1"/>
  <c r="F43" i="3" s="1"/>
  <c r="AQ29" i="1"/>
  <c r="P29" i="3" s="1"/>
  <c r="AQ15" i="1"/>
  <c r="P15" i="3" s="1"/>
  <c r="AP8" i="1"/>
  <c r="AQ50" i="1"/>
  <c r="V50" i="3" s="1"/>
  <c r="AR64" i="1"/>
  <c r="AP121" i="1"/>
  <c r="F120" i="3" s="1"/>
  <c r="AR176" i="1"/>
  <c r="AQ190" i="1"/>
  <c r="G190" i="3" s="1"/>
  <c r="AQ224" i="1"/>
  <c r="J224" i="3" s="1"/>
  <c r="AQ196" i="1"/>
  <c r="S196" i="3" s="1"/>
  <c r="AQ182" i="1"/>
  <c r="AP154" i="1"/>
  <c r="R154" i="3" s="1"/>
  <c r="AQ127" i="1"/>
  <c r="V126" i="3" s="1"/>
  <c r="AP113" i="1"/>
  <c r="C112" i="3" s="1"/>
  <c r="AQ42" i="1"/>
  <c r="J42" i="3" s="1"/>
  <c r="AP28" i="1"/>
  <c r="AQ126" i="1"/>
  <c r="G125" i="3" s="1"/>
  <c r="AP50" i="1"/>
  <c r="L50" i="3" s="1"/>
  <c r="AR78" i="1"/>
  <c r="AQ207" i="1"/>
  <c r="V207" i="3" s="1"/>
  <c r="AR124" i="1"/>
  <c r="AQ78" i="1"/>
  <c r="AP39" i="1"/>
  <c r="AP12" i="1"/>
  <c r="R12" i="3" s="1"/>
  <c r="AR97" i="1"/>
  <c r="AP111" i="1"/>
  <c r="L110" i="3" s="1"/>
  <c r="AQ220" i="1"/>
  <c r="G220" i="3" s="1"/>
  <c r="AP206" i="1"/>
  <c r="R206" i="3" s="1"/>
  <c r="AP164" i="1"/>
  <c r="U136" i="3"/>
  <c r="AP123" i="1"/>
  <c r="AP109" i="1"/>
  <c r="F108" i="3" s="1"/>
  <c r="AP52" i="1"/>
  <c r="C52" i="3" s="1"/>
  <c r="AR165" i="1"/>
  <c r="AQ124" i="1"/>
  <c r="D123" i="3" s="1"/>
  <c r="AQ36" i="1"/>
  <c r="N221" i="3"/>
  <c r="AQ5" i="1"/>
  <c r="V5" i="3" s="1"/>
  <c r="AP33" i="1"/>
  <c r="O33" i="3" s="1"/>
  <c r="AQ61" i="1"/>
  <c r="AP75" i="1"/>
  <c r="AP104" i="1"/>
  <c r="F103" i="3" s="1"/>
  <c r="AR227" i="1"/>
  <c r="H227" i="3" s="1"/>
  <c r="AP213" i="1"/>
  <c r="AP199" i="1"/>
  <c r="C199" i="3" s="1"/>
  <c r="AR185" i="1"/>
  <c r="AP171" i="1"/>
  <c r="AP157" i="1"/>
  <c r="AP143" i="1"/>
  <c r="AQ130" i="1"/>
  <c r="P129" i="3" s="1"/>
  <c r="AP116" i="1"/>
  <c r="AP102" i="1"/>
  <c r="U101" i="3" s="1"/>
  <c r="AR88" i="1"/>
  <c r="AQ73" i="1"/>
  <c r="V73" i="3" s="1"/>
  <c r="AP45" i="1"/>
  <c r="L45" i="3" s="1"/>
  <c r="AR31" i="1"/>
  <c r="AP17" i="1"/>
  <c r="AQ144" i="1"/>
  <c r="AP6" i="1"/>
  <c r="AQ6" i="1"/>
  <c r="P6" i="3" s="1"/>
  <c r="AP119" i="1"/>
  <c r="I118" i="3" s="1"/>
  <c r="AQ119" i="1"/>
  <c r="AR119" i="1"/>
  <c r="AP133" i="1"/>
  <c r="U132" i="3" s="1"/>
  <c r="AQ133" i="1"/>
  <c r="M132" i="3" s="1"/>
  <c r="AR133" i="1"/>
  <c r="K132" i="3" s="1"/>
  <c r="AQ146" i="1"/>
  <c r="P146" i="3" s="1"/>
  <c r="AR146" i="1"/>
  <c r="AP188" i="1"/>
  <c r="AQ188" i="1"/>
  <c r="J188" i="3" s="1"/>
  <c r="AP144" i="1"/>
  <c r="F144" i="3" s="1"/>
  <c r="AQ30" i="1"/>
  <c r="S30" i="3" s="1"/>
  <c r="AQ21" i="1"/>
  <c r="AP21" i="1"/>
  <c r="C21" i="3" s="1"/>
  <c r="AR21" i="1"/>
  <c r="K21" i="3" s="1"/>
  <c r="AQ161" i="1"/>
  <c r="AR161" i="1"/>
  <c r="Q161" i="3" s="1"/>
  <c r="AP86" i="1"/>
  <c r="R85" i="3" s="1"/>
  <c r="AR86" i="1"/>
  <c r="E85" i="3" s="1"/>
  <c r="AP22" i="1"/>
  <c r="F22" i="3" s="1"/>
  <c r="AQ22" i="1"/>
  <c r="AQ93" i="1"/>
  <c r="AR93" i="1"/>
  <c r="Q92" i="3" s="1"/>
  <c r="AP148" i="1"/>
  <c r="F148" i="3" s="1"/>
  <c r="AQ148" i="1"/>
  <c r="J148" i="3" s="1"/>
  <c r="AQ162" i="1"/>
  <c r="AR162" i="1"/>
  <c r="AP162" i="1"/>
  <c r="O162" i="3" s="1"/>
  <c r="AP204" i="1"/>
  <c r="AQ204" i="1"/>
  <c r="M204" i="3" s="1"/>
  <c r="AR204" i="1"/>
  <c r="AQ218" i="1"/>
  <c r="M218" i="3" s="1"/>
  <c r="AR218" i="1"/>
  <c r="N218" i="3" s="1"/>
  <c r="AR224" i="1"/>
  <c r="W224" i="3" s="1"/>
  <c r="AQ202" i="1"/>
  <c r="AP93" i="1"/>
  <c r="C92" i="3" s="1"/>
  <c r="AR48" i="1"/>
  <c r="AQ28" i="1"/>
  <c r="E37" i="3"/>
  <c r="AP51" i="1"/>
  <c r="F51" i="3" s="1"/>
  <c r="AQ51" i="1"/>
  <c r="G51" i="3" s="1"/>
  <c r="AR51" i="1"/>
  <c r="AP65" i="1"/>
  <c r="R65" i="3" s="1"/>
  <c r="AR65" i="1"/>
  <c r="AQ136" i="1"/>
  <c r="V135" i="3" s="1"/>
  <c r="AR136" i="1"/>
  <c r="W135" i="3" s="1"/>
  <c r="AP177" i="1"/>
  <c r="AQ177" i="1"/>
  <c r="V177" i="3" s="1"/>
  <c r="AR177" i="1"/>
  <c r="AR191" i="1"/>
  <c r="T191" i="3" s="1"/>
  <c r="AP191" i="1"/>
  <c r="AQ191" i="1"/>
  <c r="AP219" i="1"/>
  <c r="O219" i="3" s="1"/>
  <c r="AQ219" i="1"/>
  <c r="J219" i="3" s="1"/>
  <c r="AR219" i="1"/>
  <c r="H219" i="3" s="1"/>
  <c r="AP202" i="1"/>
  <c r="F202" i="3" s="1"/>
  <c r="AP160" i="1"/>
  <c r="L160" i="3" s="1"/>
  <c r="AR113" i="1"/>
  <c r="E112" i="3" s="1"/>
  <c r="AR91" i="1"/>
  <c r="W90" i="3" s="1"/>
  <c r="AQ48" i="1"/>
  <c r="M48" i="3" s="1"/>
  <c r="AR158" i="1"/>
  <c r="AQ91" i="1"/>
  <c r="P90" i="3" s="1"/>
  <c r="AQ27" i="1"/>
  <c r="D27" i="3" s="1"/>
  <c r="AQ156" i="1"/>
  <c r="AP64" i="1"/>
  <c r="C64" i="3" s="1"/>
  <c r="AP26" i="1"/>
  <c r="C26" i="3" s="1"/>
  <c r="AR26" i="1"/>
  <c r="T26" i="3" s="1"/>
  <c r="AP68" i="1"/>
  <c r="R68" i="3" s="1"/>
  <c r="AQ68" i="1"/>
  <c r="P68" i="3" s="1"/>
  <c r="AR68" i="1"/>
  <c r="AQ192" i="1"/>
  <c r="AR192" i="1"/>
  <c r="AP178" i="1"/>
  <c r="O178" i="3" s="1"/>
  <c r="AQ178" i="1"/>
  <c r="V178" i="3" s="1"/>
  <c r="AR178" i="1"/>
  <c r="N178" i="3" s="1"/>
  <c r="AP150" i="1"/>
  <c r="C150" i="3" s="1"/>
  <c r="AQ150" i="1"/>
  <c r="J150" i="3" s="1"/>
  <c r="AP218" i="1"/>
  <c r="AR195" i="1"/>
  <c r="E195" i="3" s="1"/>
  <c r="AQ176" i="1"/>
  <c r="M176" i="3" s="1"/>
  <c r="AR111" i="1"/>
  <c r="AQ87" i="1"/>
  <c r="AR62" i="1"/>
  <c r="H62" i="3" s="1"/>
  <c r="AR43" i="1"/>
  <c r="T43" i="3" s="1"/>
  <c r="AR216" i="1"/>
  <c r="E216" i="3" s="1"/>
  <c r="AP176" i="1"/>
  <c r="F176" i="3" s="1"/>
  <c r="AQ154" i="1"/>
  <c r="M154" i="3" s="1"/>
  <c r="AP136" i="1"/>
  <c r="C135" i="3" s="1"/>
  <c r="AQ111" i="1"/>
  <c r="D110" i="3" s="1"/>
  <c r="AQ62" i="1"/>
  <c r="S62" i="3" s="1"/>
  <c r="AQ43" i="1"/>
  <c r="S43" i="3" s="1"/>
  <c r="AR127" i="1"/>
  <c r="AR42" i="1"/>
  <c r="AQ20" i="1"/>
  <c r="AQ128" i="1"/>
  <c r="AP20" i="1"/>
  <c r="C20" i="3" s="1"/>
  <c r="AR27" i="1"/>
  <c r="N27" i="3" s="1"/>
  <c r="AR41" i="1"/>
  <c r="Q41" i="3" s="1"/>
  <c r="AP41" i="1"/>
  <c r="R41" i="3" s="1"/>
  <c r="AP55" i="1"/>
  <c r="I55" i="3" s="1"/>
  <c r="AQ69" i="1"/>
  <c r="P69" i="3" s="1"/>
  <c r="AP84" i="1"/>
  <c r="I83" i="3" s="1"/>
  <c r="AP98" i="1"/>
  <c r="AR139" i="1"/>
  <c r="AP195" i="1"/>
  <c r="AQ205" i="1"/>
  <c r="AP149" i="1"/>
  <c r="U149" i="3" s="1"/>
  <c r="AQ122" i="1"/>
  <c r="S121" i="3" s="1"/>
  <c r="AR108" i="1"/>
  <c r="AQ94" i="1"/>
  <c r="V93" i="3" s="1"/>
  <c r="AP79" i="1"/>
  <c r="R79" i="3" s="1"/>
  <c r="AP14" i="1"/>
  <c r="AR28" i="1"/>
  <c r="AP42" i="1"/>
  <c r="F42" i="3" s="1"/>
  <c r="AP56" i="1"/>
  <c r="O56" i="3" s="1"/>
  <c r="AR70" i="1"/>
  <c r="AQ85" i="1"/>
  <c r="V84" i="3" s="1"/>
  <c r="AP99" i="1"/>
  <c r="U98" i="3" s="1"/>
  <c r="AQ113" i="1"/>
  <c r="AP127" i="1"/>
  <c r="R126" i="3" s="1"/>
  <c r="AR154" i="1"/>
  <c r="E154" i="3" s="1"/>
  <c r="AR168" i="1"/>
  <c r="AP182" i="1"/>
  <c r="L182" i="3" s="1"/>
  <c r="AP196" i="1"/>
  <c r="O196" i="3" s="1"/>
  <c r="AR196" i="1"/>
  <c r="Q196" i="3" s="1"/>
  <c r="AP210" i="1"/>
  <c r="I210" i="3" s="1"/>
  <c r="AR210" i="1"/>
  <c r="AP224" i="1"/>
  <c r="I224" i="3" s="1"/>
  <c r="AR148" i="1"/>
  <c r="AR22" i="1"/>
  <c r="AR99" i="1"/>
  <c r="H98" i="3" s="1"/>
  <c r="AR85" i="1"/>
  <c r="AP211" i="1"/>
  <c r="AR128" i="1"/>
  <c r="T127" i="3" s="1"/>
  <c r="AQ99" i="1"/>
  <c r="S98" i="3" s="1"/>
  <c r="AP85" i="1"/>
  <c r="L84" i="3" s="1"/>
  <c r="AR16" i="1"/>
  <c r="Q16" i="3" s="1"/>
  <c r="AR30" i="1"/>
  <c r="AR58" i="1"/>
  <c r="T58" i="3" s="1"/>
  <c r="AR87" i="1"/>
  <c r="T86" i="3" s="1"/>
  <c r="AR156" i="1"/>
  <c r="K156" i="3" s="1"/>
  <c r="AR170" i="1"/>
  <c r="AR184" i="1"/>
  <c r="AR198" i="1"/>
  <c r="W198" i="3" s="1"/>
  <c r="AP198" i="1"/>
  <c r="AP216" i="1"/>
  <c r="L216" i="3" s="1"/>
  <c r="AQ160" i="1"/>
  <c r="AP146" i="1"/>
  <c r="O146" i="3" s="1"/>
  <c r="AQ34" i="1"/>
  <c r="D34" i="3" s="1"/>
  <c r="AR6" i="1"/>
  <c r="AR84" i="1"/>
  <c r="W83" i="3" s="1"/>
  <c r="AR10" i="1"/>
  <c r="AP24" i="1"/>
  <c r="R24" i="3" s="1"/>
  <c r="AR38" i="1"/>
  <c r="K38" i="3" s="1"/>
  <c r="AQ95" i="1"/>
  <c r="AQ123" i="1"/>
  <c r="AP192" i="1"/>
  <c r="I192" i="3" s="1"/>
  <c r="F172" i="3"/>
  <c r="R172" i="3"/>
  <c r="I172" i="3"/>
  <c r="O172" i="3"/>
  <c r="U172" i="3"/>
  <c r="C172" i="3"/>
  <c r="L172" i="3"/>
  <c r="AP4" i="1"/>
  <c r="AQ4" i="1"/>
  <c r="AQ18" i="1"/>
  <c r="AP18" i="1"/>
  <c r="AR18" i="1"/>
  <c r="AP32" i="1"/>
  <c r="AQ32" i="1"/>
  <c r="AR32" i="1"/>
  <c r="AP46" i="1"/>
  <c r="AQ46" i="1"/>
  <c r="AQ60" i="1"/>
  <c r="AP60" i="1"/>
  <c r="AQ74" i="1"/>
  <c r="AP74" i="1"/>
  <c r="AQ89" i="1"/>
  <c r="AP89" i="1"/>
  <c r="AR89" i="1"/>
  <c r="AQ103" i="1"/>
  <c r="AR103" i="1"/>
  <c r="AR117" i="1"/>
  <c r="AP117" i="1"/>
  <c r="AQ117" i="1"/>
  <c r="N144" i="3"/>
  <c r="Q144" i="3"/>
  <c r="T144" i="3"/>
  <c r="H144" i="3"/>
  <c r="E144" i="3"/>
  <c r="W144" i="3"/>
  <c r="K144" i="3"/>
  <c r="M158" i="3"/>
  <c r="J158" i="3"/>
  <c r="D158" i="3"/>
  <c r="P158" i="3"/>
  <c r="G158" i="3"/>
  <c r="AP186" i="1"/>
  <c r="AQ186" i="1"/>
  <c r="AP200" i="1"/>
  <c r="AQ200" i="1"/>
  <c r="H214" i="3"/>
  <c r="W214" i="3"/>
  <c r="N214" i="3"/>
  <c r="T214" i="3"/>
  <c r="AR171" i="1"/>
  <c r="AP130" i="1"/>
  <c r="AP106" i="1"/>
  <c r="AP5" i="1"/>
  <c r="AR225" i="1"/>
  <c r="AR200" i="1"/>
  <c r="AR183" i="1"/>
  <c r="F151" i="3"/>
  <c r="I151" i="3"/>
  <c r="R151" i="3"/>
  <c r="U151" i="3"/>
  <c r="O151" i="3"/>
  <c r="AQ143" i="1"/>
  <c r="AR102" i="1"/>
  <c r="AR75" i="1"/>
  <c r="AQ57" i="1"/>
  <c r="AP35" i="1"/>
  <c r="AQ26" i="1"/>
  <c r="AQ10" i="1"/>
  <c r="L151" i="3"/>
  <c r="AP19" i="1"/>
  <c r="AQ19" i="1"/>
  <c r="AR19" i="1"/>
  <c r="AQ47" i="1"/>
  <c r="AR47" i="1"/>
  <c r="AP47" i="1"/>
  <c r="AQ90" i="1"/>
  <c r="AP90" i="1"/>
  <c r="AP118" i="1"/>
  <c r="AQ118" i="1"/>
  <c r="AQ132" i="1"/>
  <c r="AP132" i="1"/>
  <c r="AR132" i="1"/>
  <c r="AR145" i="1"/>
  <c r="AP145" i="1"/>
  <c r="AQ145" i="1"/>
  <c r="AR159" i="1"/>
  <c r="AP159" i="1"/>
  <c r="AQ159" i="1"/>
  <c r="AQ173" i="1"/>
  <c r="AP173" i="1"/>
  <c r="AR173" i="1"/>
  <c r="AP187" i="1"/>
  <c r="AQ187" i="1"/>
  <c r="AR187" i="1"/>
  <c r="AQ201" i="1"/>
  <c r="AP201" i="1"/>
  <c r="AR201" i="1"/>
  <c r="AP215" i="1"/>
  <c r="AQ215" i="1"/>
  <c r="AR215" i="1"/>
  <c r="H186" i="3"/>
  <c r="K186" i="3"/>
  <c r="Q186" i="3"/>
  <c r="W186" i="3"/>
  <c r="T186" i="3"/>
  <c r="E186" i="3"/>
  <c r="AQ171" i="1"/>
  <c r="F137" i="3"/>
  <c r="L137" i="3"/>
  <c r="O137" i="3"/>
  <c r="U137" i="3"/>
  <c r="R137" i="3"/>
  <c r="I137" i="3"/>
  <c r="C137" i="3"/>
  <c r="AR61" i="1"/>
  <c r="M136" i="3"/>
  <c r="J136" i="3"/>
  <c r="S136" i="3"/>
  <c r="G136" i="3"/>
  <c r="AR104" i="1"/>
  <c r="AP61" i="1"/>
  <c r="AQ7" i="1"/>
  <c r="AR7" i="1"/>
  <c r="AP7" i="1"/>
  <c r="AQ49" i="1"/>
  <c r="AP49" i="1"/>
  <c r="G63" i="3"/>
  <c r="AQ77" i="1"/>
  <c r="AR77" i="1"/>
  <c r="AQ120" i="1"/>
  <c r="AR120" i="1"/>
  <c r="AQ134" i="1"/>
  <c r="AR134" i="1"/>
  <c r="AQ147" i="1"/>
  <c r="AR147" i="1"/>
  <c r="AQ175" i="1"/>
  <c r="AP175" i="1"/>
  <c r="AR175" i="1"/>
  <c r="AQ203" i="1"/>
  <c r="AP203" i="1"/>
  <c r="AR203" i="1"/>
  <c r="AQ217" i="1"/>
  <c r="AR217" i="1"/>
  <c r="AQ197" i="1"/>
  <c r="AR197" i="1"/>
  <c r="AP169" i="1"/>
  <c r="AQ169" i="1"/>
  <c r="AP161" i="1"/>
  <c r="AQ104" i="1"/>
  <c r="AQ86" i="1"/>
  <c r="AP77" i="1"/>
  <c r="AR143" i="1"/>
  <c r="AR57" i="1"/>
  <c r="AR35" i="1"/>
  <c r="AQ52" i="1"/>
  <c r="AR52" i="1"/>
  <c r="AR66" i="1"/>
  <c r="AP66" i="1"/>
  <c r="AQ66" i="1"/>
  <c r="AQ81" i="1"/>
  <c r="AP81" i="1"/>
  <c r="AR81" i="1"/>
  <c r="AP217" i="1"/>
  <c r="AR199" i="1"/>
  <c r="AQ183" i="1"/>
  <c r="AR118" i="1"/>
  <c r="AQ75" i="1"/>
  <c r="AR33" i="1"/>
  <c r="AQ17" i="1"/>
  <c r="AP10" i="1"/>
  <c r="AQ199" i="1"/>
  <c r="AP158" i="1"/>
  <c r="AP134" i="1"/>
  <c r="AR116" i="1"/>
  <c r="H108" i="3"/>
  <c r="T108" i="3"/>
  <c r="W108" i="3"/>
  <c r="K108" i="3"/>
  <c r="AR100" i="1"/>
  <c r="AQ33" i="1"/>
  <c r="AP40" i="1"/>
  <c r="AR40" i="1"/>
  <c r="AP54" i="1"/>
  <c r="AQ54" i="1"/>
  <c r="AP83" i="1"/>
  <c r="AQ83" i="1"/>
  <c r="AR83" i="1"/>
  <c r="AP97" i="1"/>
  <c r="AQ97" i="1"/>
  <c r="AP125" i="1"/>
  <c r="AR125" i="1"/>
  <c r="AQ125" i="1"/>
  <c r="AP138" i="1"/>
  <c r="AQ138" i="1"/>
  <c r="AR138" i="1"/>
  <c r="AP152" i="1"/>
  <c r="AQ152" i="1"/>
  <c r="AR152" i="1"/>
  <c r="AP166" i="1"/>
  <c r="AQ166" i="1"/>
  <c r="AR166" i="1"/>
  <c r="AP180" i="1"/>
  <c r="AQ180" i="1"/>
  <c r="AR180" i="1"/>
  <c r="AP194" i="1"/>
  <c r="AQ194" i="1"/>
  <c r="AR194" i="1"/>
  <c r="AP208" i="1"/>
  <c r="AQ208" i="1"/>
  <c r="AR208" i="1"/>
  <c r="AP222" i="1"/>
  <c r="AQ222" i="1"/>
  <c r="AR222" i="1"/>
  <c r="AR141" i="1"/>
  <c r="AQ109" i="1"/>
  <c r="AR92" i="1"/>
  <c r="AR74" i="1"/>
  <c r="AR49" i="1"/>
  <c r="AQ40" i="1"/>
  <c r="V136" i="3"/>
  <c r="Q108" i="3"/>
  <c r="AP13" i="1"/>
  <c r="AQ13" i="1"/>
  <c r="AR13" i="1"/>
  <c r="AP112" i="1"/>
  <c r="AQ112" i="1"/>
  <c r="AP153" i="1"/>
  <c r="AR153" i="1"/>
  <c r="AP167" i="1"/>
  <c r="AQ167" i="1"/>
  <c r="AP181" i="1"/>
  <c r="AQ181" i="1"/>
  <c r="AP209" i="1"/>
  <c r="AQ209" i="1"/>
  <c r="AP223" i="1"/>
  <c r="AQ223" i="1"/>
  <c r="AQ214" i="1"/>
  <c r="AQ206" i="1"/>
  <c r="P165" i="3"/>
  <c r="D165" i="3"/>
  <c r="V165" i="3"/>
  <c r="G165" i="3"/>
  <c r="S165" i="3"/>
  <c r="J165" i="3"/>
  <c r="AQ149" i="1"/>
  <c r="AQ141" i="1"/>
  <c r="AP92" i="1"/>
  <c r="AR55" i="1"/>
  <c r="AR24" i="1"/>
  <c r="P136" i="3"/>
  <c r="AP140" i="1"/>
  <c r="AQ140" i="1"/>
  <c r="AR223" i="1"/>
  <c r="AP214" i="1"/>
  <c r="AR189" i="1"/>
  <c r="AR140" i="1"/>
  <c r="AR114" i="1"/>
  <c r="AQ108" i="1"/>
  <c r="AR71" i="1"/>
  <c r="AQ55" i="1"/>
  <c r="AQ24" i="1"/>
  <c r="AR15" i="1"/>
  <c r="C151" i="3"/>
  <c r="Q214" i="3"/>
  <c r="N186" i="3"/>
  <c r="N108" i="3"/>
  <c r="AP29" i="1"/>
  <c r="AQ100" i="1"/>
  <c r="T221" i="3"/>
  <c r="W221" i="3"/>
  <c r="H221" i="3"/>
  <c r="K221" i="3"/>
  <c r="Q221" i="3"/>
  <c r="AQ213" i="1"/>
  <c r="AR205" i="1"/>
  <c r="AP197" i="1"/>
  <c r="AP189" i="1"/>
  <c r="AR181" i="1"/>
  <c r="AR172" i="1"/>
  <c r="AQ164" i="1"/>
  <c r="AR155" i="1"/>
  <c r="AQ139" i="1"/>
  <c r="AQ131" i="1"/>
  <c r="AP114" i="1"/>
  <c r="AP108" i="1"/>
  <c r="AR98" i="1"/>
  <c r="AQ71" i="1"/>
  <c r="AP15" i="1"/>
  <c r="AQ172" i="1"/>
  <c r="AQ155" i="1"/>
  <c r="AP139" i="1"/>
  <c r="AP131" i="1"/>
  <c r="AR122" i="1"/>
  <c r="AQ98" i="1"/>
  <c r="AR79" i="1"/>
  <c r="AQ70" i="1"/>
  <c r="AR54" i="1"/>
  <c r="AR46" i="1"/>
  <c r="AQ38" i="1"/>
  <c r="AR29" i="1"/>
  <c r="AR14" i="1"/>
  <c r="AR5" i="1"/>
  <c r="K214" i="3"/>
  <c r="AR17" i="1"/>
  <c r="S179" i="3"/>
  <c r="J179" i="3"/>
  <c r="P179" i="3"/>
  <c r="G179" i="3"/>
  <c r="V179" i="3"/>
  <c r="M179" i="3"/>
  <c r="AP147" i="1"/>
  <c r="AR106" i="1"/>
  <c r="AR90" i="1"/>
  <c r="AP70" i="1"/>
  <c r="AP38" i="1"/>
  <c r="AQ14" i="1"/>
  <c r="E214" i="3"/>
  <c r="D136" i="3"/>
  <c r="AR169" i="1"/>
  <c r="AP225" i="1"/>
  <c r="AR44" i="1"/>
  <c r="AP44" i="1"/>
  <c r="AR72" i="1"/>
  <c r="AP72" i="1"/>
  <c r="AR101" i="1"/>
  <c r="AP101" i="1"/>
  <c r="AQ101" i="1"/>
  <c r="AR115" i="1"/>
  <c r="AQ115" i="1"/>
  <c r="AR129" i="1"/>
  <c r="AP129" i="1"/>
  <c r="AQ129" i="1"/>
  <c r="AR142" i="1"/>
  <c r="AP142" i="1"/>
  <c r="AR212" i="1"/>
  <c r="AP212" i="1"/>
  <c r="AR226" i="1"/>
  <c r="AQ226" i="1"/>
  <c r="AQ76" i="1"/>
  <c r="AR76" i="1"/>
  <c r="AQ58" i="1"/>
  <c r="AQ3" i="1"/>
  <c r="AP31" i="1"/>
  <c r="AQ31" i="1"/>
  <c r="AQ45" i="1"/>
  <c r="AQ59" i="1"/>
  <c r="AP59" i="1"/>
  <c r="AR59" i="1"/>
  <c r="AR73" i="1"/>
  <c r="AP88" i="1"/>
  <c r="AQ102" i="1"/>
  <c r="AQ116" i="1"/>
  <c r="AR130" i="1"/>
  <c r="AQ157" i="1"/>
  <c r="AR157" i="1"/>
  <c r="AP185" i="1"/>
  <c r="AQ185" i="1"/>
  <c r="AR213" i="1"/>
  <c r="AP227" i="1"/>
  <c r="AQ227" i="1"/>
  <c r="T193" i="3"/>
  <c r="H193" i="3"/>
  <c r="N193" i="3"/>
  <c r="K193" i="3"/>
  <c r="W193" i="3"/>
  <c r="AQ88" i="1"/>
  <c r="AP73" i="1"/>
  <c r="AP58" i="1"/>
  <c r="AR45" i="1"/>
  <c r="AR8" i="1"/>
  <c r="AR36" i="1"/>
  <c r="AR50" i="1"/>
  <c r="AQ64" i="1"/>
  <c r="AP107" i="1"/>
  <c r="AQ107" i="1"/>
  <c r="AR121" i="1"/>
  <c r="AR135" i="1"/>
  <c r="AP135" i="1"/>
  <c r="AQ135" i="1"/>
  <c r="AP190" i="1"/>
  <c r="AR190" i="1"/>
  <c r="F207" i="3"/>
  <c r="U207" i="3"/>
  <c r="R207" i="3"/>
  <c r="O207" i="3"/>
  <c r="AQ121" i="1"/>
  <c r="AQ8" i="1"/>
  <c r="I207" i="3"/>
  <c r="AP9" i="1"/>
  <c r="AQ79" i="1"/>
  <c r="AR94" i="1"/>
  <c r="AR149" i="1"/>
  <c r="AR163" i="1"/>
  <c r="AP205" i="1"/>
  <c r="AQ163" i="1"/>
  <c r="AR123" i="1"/>
  <c r="AR95" i="1"/>
  <c r="AQ65" i="1"/>
  <c r="AR164" i="1"/>
  <c r="AR206" i="1"/>
  <c r="AP220" i="1"/>
  <c r="AR220" i="1"/>
  <c r="AP163" i="1"/>
  <c r="AP95" i="1"/>
  <c r="AP34" i="1"/>
  <c r="AQ105" i="1"/>
  <c r="AR174" i="1"/>
  <c r="AQ174" i="1"/>
  <c r="AR105" i="1"/>
  <c r="AR34" i="1"/>
  <c r="T130" i="3" l="1"/>
  <c r="O102" i="3"/>
  <c r="U102" i="3"/>
  <c r="R102" i="3"/>
  <c r="E130" i="3"/>
  <c r="J39" i="3"/>
  <c r="P39" i="3"/>
  <c r="G39" i="3"/>
  <c r="Q60" i="3"/>
  <c r="O11" i="3"/>
  <c r="G5" i="3"/>
  <c r="E60" i="3"/>
  <c r="N60" i="3"/>
  <c r="F62" i="3"/>
  <c r="E167" i="3"/>
  <c r="T112" i="3"/>
  <c r="E4" i="3"/>
  <c r="I102" i="3"/>
  <c r="Q4" i="3"/>
  <c r="H130" i="3"/>
  <c r="L102" i="3"/>
  <c r="N25" i="3"/>
  <c r="P83" i="3"/>
  <c r="C102" i="3"/>
  <c r="G16" i="3"/>
  <c r="T125" i="3"/>
  <c r="E12" i="3"/>
  <c r="J41" i="3"/>
  <c r="J126" i="3"/>
  <c r="W4" i="3"/>
  <c r="L126" i="3"/>
  <c r="V90" i="3"/>
  <c r="T167" i="3"/>
  <c r="W160" i="3"/>
  <c r="L55" i="3"/>
  <c r="H25" i="3"/>
  <c r="S218" i="3"/>
  <c r="J90" i="3"/>
  <c r="E111" i="3"/>
  <c r="P16" i="3"/>
  <c r="Q111" i="3"/>
  <c r="U92" i="3"/>
  <c r="L27" i="3"/>
  <c r="O27" i="3"/>
  <c r="P41" i="3"/>
  <c r="M63" i="3"/>
  <c r="F110" i="3"/>
  <c r="O110" i="3"/>
  <c r="S220" i="3"/>
  <c r="P72" i="3"/>
  <c r="J220" i="3"/>
  <c r="G132" i="3"/>
  <c r="V220" i="3"/>
  <c r="E125" i="3"/>
  <c r="J168" i="3"/>
  <c r="T81" i="3"/>
  <c r="E207" i="3"/>
  <c r="J63" i="3"/>
  <c r="Q130" i="3"/>
  <c r="H156" i="3"/>
  <c r="M220" i="3"/>
  <c r="V72" i="3"/>
  <c r="K127" i="3"/>
  <c r="W58" i="3"/>
  <c r="N67" i="3"/>
  <c r="T188" i="3"/>
  <c r="S39" i="3"/>
  <c r="W182" i="3"/>
  <c r="S109" i="3"/>
  <c r="G25" i="3"/>
  <c r="D39" i="3"/>
  <c r="Q182" i="3"/>
  <c r="N9" i="3"/>
  <c r="M91" i="3"/>
  <c r="N182" i="3"/>
  <c r="J109" i="3"/>
  <c r="M25" i="3"/>
  <c r="V39" i="3"/>
  <c r="M110" i="3"/>
  <c r="R110" i="3"/>
  <c r="W25" i="3"/>
  <c r="I110" i="3"/>
  <c r="T160" i="3"/>
  <c r="I119" i="3"/>
  <c r="O119" i="3"/>
  <c r="K27" i="3"/>
  <c r="S204" i="3"/>
  <c r="O206" i="3"/>
  <c r="W188" i="3"/>
  <c r="M72" i="3"/>
  <c r="D63" i="3"/>
  <c r="C27" i="3"/>
  <c r="I57" i="3"/>
  <c r="W179" i="3"/>
  <c r="P63" i="3"/>
  <c r="L57" i="3"/>
  <c r="O202" i="3"/>
  <c r="S110" i="3"/>
  <c r="N216" i="3"/>
  <c r="I92" i="3"/>
  <c r="M41" i="3"/>
  <c r="K111" i="3"/>
  <c r="K130" i="3"/>
  <c r="I132" i="3"/>
  <c r="U112" i="3"/>
  <c r="C43" i="3"/>
  <c r="O150" i="3"/>
  <c r="C121" i="3"/>
  <c r="L206" i="3"/>
  <c r="L132" i="3"/>
  <c r="V151" i="3"/>
  <c r="Q150" i="3"/>
  <c r="J151" i="3"/>
  <c r="N58" i="3"/>
  <c r="L224" i="3"/>
  <c r="W130" i="3"/>
  <c r="G151" i="3"/>
  <c r="M151" i="3"/>
  <c r="I93" i="3"/>
  <c r="L85" i="3"/>
  <c r="S151" i="3"/>
  <c r="T154" i="3"/>
  <c r="T83" i="3"/>
  <c r="H67" i="3"/>
  <c r="I146" i="3"/>
  <c r="E67" i="3"/>
  <c r="K209" i="3"/>
  <c r="U146" i="3"/>
  <c r="F126" i="3"/>
  <c r="D93" i="3"/>
  <c r="O121" i="3"/>
  <c r="S95" i="3"/>
  <c r="U226" i="3"/>
  <c r="U126" i="3"/>
  <c r="G93" i="3"/>
  <c r="O93" i="3"/>
  <c r="L226" i="3"/>
  <c r="L121" i="3"/>
  <c r="I109" i="3"/>
  <c r="I126" i="3"/>
  <c r="F109" i="3"/>
  <c r="U109" i="3"/>
  <c r="L123" i="3"/>
  <c r="D151" i="3"/>
  <c r="R109" i="3"/>
  <c r="U81" i="3"/>
  <c r="C221" i="3"/>
  <c r="F81" i="3"/>
  <c r="R30" i="3"/>
  <c r="O16" i="3"/>
  <c r="M50" i="3"/>
  <c r="P105" i="3"/>
  <c r="R104" i="3"/>
  <c r="F25" i="3"/>
  <c r="W156" i="3"/>
  <c r="R81" i="3"/>
  <c r="I30" i="3"/>
  <c r="K60" i="3"/>
  <c r="M105" i="3"/>
  <c r="V211" i="3"/>
  <c r="U104" i="3"/>
  <c r="L25" i="3"/>
  <c r="P53" i="3"/>
  <c r="R160" i="3"/>
  <c r="D178" i="3"/>
  <c r="E182" i="3"/>
  <c r="W38" i="3"/>
  <c r="P126" i="3"/>
  <c r="H60" i="3"/>
  <c r="U65" i="3"/>
  <c r="O160" i="3"/>
  <c r="N188" i="3"/>
  <c r="G9" i="3"/>
  <c r="K182" i="3"/>
  <c r="G126" i="3"/>
  <c r="W60" i="3"/>
  <c r="W85" i="3"/>
  <c r="I22" i="3"/>
  <c r="N83" i="3"/>
  <c r="F65" i="3"/>
  <c r="U150" i="3"/>
  <c r="O210" i="3"/>
  <c r="H4" i="3"/>
  <c r="M135" i="3"/>
  <c r="D44" i="3"/>
  <c r="S48" i="3"/>
  <c r="L210" i="3"/>
  <c r="K67" i="3"/>
  <c r="Q160" i="3"/>
  <c r="N4" i="3"/>
  <c r="P44" i="3"/>
  <c r="S5" i="3"/>
  <c r="G109" i="3"/>
  <c r="H160" i="3"/>
  <c r="K4" i="3"/>
  <c r="I62" i="3"/>
  <c r="M5" i="3"/>
  <c r="U182" i="3"/>
  <c r="Q53" i="3"/>
  <c r="J210" i="3"/>
  <c r="D72" i="3"/>
  <c r="C118" i="3"/>
  <c r="T182" i="3"/>
  <c r="D41" i="3"/>
  <c r="D69" i="3"/>
  <c r="U178" i="3"/>
  <c r="H118" i="3"/>
  <c r="W118" i="3"/>
  <c r="F204" i="3"/>
  <c r="O204" i="3"/>
  <c r="L67" i="3"/>
  <c r="R67" i="3"/>
  <c r="C67" i="3"/>
  <c r="O67" i="3"/>
  <c r="F67" i="3"/>
  <c r="U67" i="3"/>
  <c r="C90" i="3"/>
  <c r="F90" i="3"/>
  <c r="M56" i="3"/>
  <c r="V56" i="3"/>
  <c r="S56" i="3"/>
  <c r="J56" i="3"/>
  <c r="G56" i="3"/>
  <c r="E6" i="3"/>
  <c r="W6" i="3"/>
  <c r="N6" i="3"/>
  <c r="K6" i="3"/>
  <c r="Q6" i="3"/>
  <c r="H6" i="3"/>
  <c r="U84" i="3"/>
  <c r="O84" i="3"/>
  <c r="R84" i="3"/>
  <c r="F84" i="3"/>
  <c r="I84" i="3"/>
  <c r="C84" i="3"/>
  <c r="N168" i="3"/>
  <c r="T168" i="3"/>
  <c r="W168" i="3"/>
  <c r="H168" i="3"/>
  <c r="K168" i="3"/>
  <c r="Q168" i="3"/>
  <c r="Q107" i="3"/>
  <c r="N107" i="3"/>
  <c r="T107" i="3"/>
  <c r="H107" i="3"/>
  <c r="K107" i="3"/>
  <c r="E107" i="3"/>
  <c r="W107" i="3"/>
  <c r="I67" i="3"/>
  <c r="T67" i="3"/>
  <c r="R119" i="3"/>
  <c r="M170" i="3"/>
  <c r="O21" i="3"/>
  <c r="P34" i="3"/>
  <c r="L21" i="3"/>
  <c r="T53" i="3"/>
  <c r="H81" i="3"/>
  <c r="J184" i="3"/>
  <c r="I21" i="3"/>
  <c r="H69" i="3"/>
  <c r="K53" i="3"/>
  <c r="W81" i="3"/>
  <c r="P43" i="3"/>
  <c r="K69" i="3"/>
  <c r="I11" i="3"/>
  <c r="H53" i="3"/>
  <c r="S210" i="3"/>
  <c r="M198" i="3"/>
  <c r="Q27" i="3"/>
  <c r="V15" i="3"/>
  <c r="V43" i="3"/>
  <c r="D195" i="3"/>
  <c r="Q125" i="3"/>
  <c r="T69" i="3"/>
  <c r="W211" i="3"/>
  <c r="P25" i="3"/>
  <c r="U11" i="3"/>
  <c r="G62" i="3"/>
  <c r="P188" i="3"/>
  <c r="D210" i="3"/>
  <c r="K125" i="3"/>
  <c r="W69" i="3"/>
  <c r="C55" i="3"/>
  <c r="O25" i="3"/>
  <c r="D25" i="3"/>
  <c r="R11" i="3"/>
  <c r="P62" i="3"/>
  <c r="O123" i="3"/>
  <c r="U114" i="3"/>
  <c r="G210" i="3"/>
  <c r="V29" i="3"/>
  <c r="W125" i="3"/>
  <c r="E69" i="3"/>
  <c r="C108" i="3"/>
  <c r="F11" i="3"/>
  <c r="M62" i="3"/>
  <c r="K154" i="3"/>
  <c r="P210" i="3"/>
  <c r="N125" i="3"/>
  <c r="Q69" i="3"/>
  <c r="I108" i="3"/>
  <c r="J25" i="3"/>
  <c r="V25" i="3"/>
  <c r="L11" i="3"/>
  <c r="P198" i="3"/>
  <c r="S90" i="3"/>
  <c r="P12" i="3"/>
  <c r="I125" i="3"/>
  <c r="W150" i="3"/>
  <c r="M210" i="3"/>
  <c r="C65" i="3"/>
  <c r="M122" i="3"/>
  <c r="V122" i="3"/>
  <c r="T106" i="3"/>
  <c r="E106" i="3"/>
  <c r="H106" i="3"/>
  <c r="F224" i="3"/>
  <c r="D28" i="3"/>
  <c r="G28" i="3"/>
  <c r="M216" i="3"/>
  <c r="V216" i="3"/>
  <c r="J221" i="3"/>
  <c r="P221" i="3"/>
  <c r="V221" i="3"/>
  <c r="U53" i="3"/>
  <c r="F53" i="3"/>
  <c r="Q167" i="3"/>
  <c r="W167" i="3"/>
  <c r="N106" i="3"/>
  <c r="U224" i="3"/>
  <c r="V9" i="3"/>
  <c r="K150" i="3"/>
  <c r="L178" i="3"/>
  <c r="K106" i="3"/>
  <c r="H150" i="3"/>
  <c r="F178" i="3"/>
  <c r="H109" i="3"/>
  <c r="E109" i="3"/>
  <c r="J193" i="3"/>
  <c r="V193" i="3"/>
  <c r="C16" i="3"/>
  <c r="I16" i="3"/>
  <c r="Q137" i="3"/>
  <c r="W137" i="3"/>
  <c r="Q9" i="3"/>
  <c r="H9" i="3"/>
  <c r="T179" i="3"/>
  <c r="P95" i="3"/>
  <c r="Q106" i="3"/>
  <c r="L42" i="3"/>
  <c r="T9" i="3"/>
  <c r="N150" i="3"/>
  <c r="S12" i="3"/>
  <c r="Q191" i="3"/>
  <c r="C30" i="3"/>
  <c r="O30" i="3"/>
  <c r="U30" i="3"/>
  <c r="L30" i="3"/>
  <c r="R179" i="3"/>
  <c r="L179" i="3"/>
  <c r="C179" i="3"/>
  <c r="V95" i="3"/>
  <c r="C174" i="3"/>
  <c r="W106" i="3"/>
  <c r="W9" i="3"/>
  <c r="T150" i="3"/>
  <c r="O193" i="3"/>
  <c r="M12" i="3"/>
  <c r="Q179" i="3"/>
  <c r="E160" i="3"/>
  <c r="K160" i="3"/>
  <c r="U25" i="3"/>
  <c r="I221" i="3"/>
  <c r="R174" i="3"/>
  <c r="C123" i="3"/>
  <c r="K9" i="3"/>
  <c r="I193" i="3"/>
  <c r="I27" i="3"/>
  <c r="J12" i="3"/>
  <c r="K211" i="3"/>
  <c r="G61" i="3"/>
  <c r="J61" i="3"/>
  <c r="N179" i="3"/>
  <c r="M109" i="3"/>
  <c r="V109" i="3"/>
  <c r="R25" i="3"/>
  <c r="M193" i="3"/>
  <c r="O174" i="3"/>
  <c r="I123" i="3"/>
  <c r="I179" i="3"/>
  <c r="S72" i="3"/>
  <c r="U193" i="3"/>
  <c r="U27" i="3"/>
  <c r="G12" i="3"/>
  <c r="O179" i="3"/>
  <c r="K65" i="3"/>
  <c r="E65" i="3"/>
  <c r="H65" i="3"/>
  <c r="T87" i="3"/>
  <c r="Q87" i="3"/>
  <c r="H87" i="3"/>
  <c r="E87" i="3"/>
  <c r="R33" i="3"/>
  <c r="I33" i="3"/>
  <c r="P189" i="3"/>
  <c r="D189" i="3"/>
  <c r="K179" i="3"/>
  <c r="D16" i="3"/>
  <c r="S16" i="3"/>
  <c r="J16" i="3"/>
  <c r="V16" i="3"/>
  <c r="K95" i="3"/>
  <c r="N95" i="3"/>
  <c r="T95" i="3"/>
  <c r="T109" i="3"/>
  <c r="I25" i="3"/>
  <c r="H95" i="3"/>
  <c r="L174" i="3"/>
  <c r="F123" i="3"/>
  <c r="G72" i="3"/>
  <c r="O41" i="3"/>
  <c r="L193" i="3"/>
  <c r="F27" i="3"/>
  <c r="V12" i="3"/>
  <c r="U179" i="3"/>
  <c r="R146" i="3"/>
  <c r="F146" i="3"/>
  <c r="C146" i="3"/>
  <c r="L146" i="3"/>
  <c r="N127" i="3"/>
  <c r="W127" i="3"/>
  <c r="H127" i="3"/>
  <c r="E127" i="3"/>
  <c r="Q127" i="3"/>
  <c r="C126" i="3"/>
  <c r="O126" i="3"/>
  <c r="O101" i="3"/>
  <c r="R101" i="3"/>
  <c r="O28" i="3"/>
  <c r="C28" i="3"/>
  <c r="G15" i="3"/>
  <c r="M15" i="3"/>
  <c r="J15" i="3"/>
  <c r="S15" i="3"/>
  <c r="L119" i="3"/>
  <c r="F119" i="3"/>
  <c r="H179" i="3"/>
  <c r="P109" i="3"/>
  <c r="G211" i="3"/>
  <c r="J211" i="3"/>
  <c r="L81" i="3"/>
  <c r="O81" i="3"/>
  <c r="C81" i="3"/>
  <c r="W109" i="3"/>
  <c r="L53" i="3"/>
  <c r="E95" i="3"/>
  <c r="I50" i="3"/>
  <c r="F193" i="3"/>
  <c r="P178" i="3"/>
  <c r="F179" i="3"/>
  <c r="L101" i="3"/>
  <c r="W126" i="3"/>
  <c r="K126" i="3"/>
  <c r="Q51" i="3"/>
  <c r="N51" i="3"/>
  <c r="C193" i="3"/>
  <c r="F164" i="3"/>
  <c r="R164" i="3"/>
  <c r="O164" i="3"/>
  <c r="Q109" i="3"/>
  <c r="I53" i="3"/>
  <c r="N137" i="3"/>
  <c r="Q95" i="3"/>
  <c r="L202" i="3"/>
  <c r="J154" i="3"/>
  <c r="P56" i="3"/>
  <c r="C93" i="3"/>
  <c r="C36" i="3"/>
  <c r="G178" i="3"/>
  <c r="L104" i="3"/>
  <c r="V67" i="3"/>
  <c r="V28" i="3"/>
  <c r="K195" i="3"/>
  <c r="F101" i="3"/>
  <c r="H137" i="3"/>
  <c r="W95" i="3"/>
  <c r="C206" i="3"/>
  <c r="F206" i="3"/>
  <c r="D91" i="3"/>
  <c r="J91" i="3"/>
  <c r="P91" i="3"/>
  <c r="O53" i="3"/>
  <c r="F174" i="3"/>
  <c r="C104" i="3"/>
  <c r="V69" i="3"/>
  <c r="D56" i="3"/>
  <c r="N167" i="3"/>
  <c r="S41" i="3"/>
  <c r="L93" i="3"/>
  <c r="F104" i="3"/>
  <c r="D211" i="3"/>
  <c r="S44" i="3"/>
  <c r="D204" i="3"/>
  <c r="O43" i="3"/>
  <c r="C101" i="3"/>
  <c r="D150" i="3"/>
  <c r="M150" i="3"/>
  <c r="U123" i="3"/>
  <c r="V44" i="3"/>
  <c r="M126" i="3"/>
  <c r="D126" i="3"/>
  <c r="R57" i="3"/>
  <c r="F57" i="3"/>
  <c r="U57" i="3"/>
  <c r="C57" i="3"/>
  <c r="P216" i="3"/>
  <c r="U16" i="3"/>
  <c r="G69" i="3"/>
  <c r="C95" i="3"/>
  <c r="U12" i="3"/>
  <c r="W65" i="3"/>
  <c r="H167" i="3"/>
  <c r="V41" i="3"/>
  <c r="F93" i="3"/>
  <c r="S126" i="3"/>
  <c r="W51" i="3"/>
  <c r="V63" i="3"/>
  <c r="U52" i="3"/>
  <c r="O104" i="3"/>
  <c r="P211" i="3"/>
  <c r="J44" i="3"/>
  <c r="L112" i="3"/>
  <c r="G204" i="3"/>
  <c r="R43" i="3"/>
  <c r="I101" i="3"/>
  <c r="L149" i="3"/>
  <c r="F219" i="3"/>
  <c r="I219" i="3"/>
  <c r="U219" i="3"/>
  <c r="G44" i="3"/>
  <c r="C110" i="3"/>
  <c r="U110" i="3"/>
  <c r="P193" i="3"/>
  <c r="F135" i="3"/>
  <c r="U93" i="3"/>
  <c r="K51" i="3"/>
  <c r="V170" i="3"/>
  <c r="M211" i="3"/>
  <c r="O112" i="3"/>
  <c r="C33" i="3"/>
  <c r="F149" i="3"/>
  <c r="J110" i="3"/>
  <c r="V110" i="3"/>
  <c r="W53" i="3"/>
  <c r="N53" i="3"/>
  <c r="N81" i="3"/>
  <c r="F184" i="3"/>
  <c r="H43" i="3"/>
  <c r="I184" i="3"/>
  <c r="V83" i="3"/>
  <c r="M83" i="3"/>
  <c r="L36" i="3"/>
  <c r="F36" i="3"/>
  <c r="U36" i="3"/>
  <c r="D142" i="3"/>
  <c r="P142" i="3"/>
  <c r="I76" i="3"/>
  <c r="F76" i="3"/>
  <c r="R90" i="3"/>
  <c r="C78" i="3"/>
  <c r="D83" i="3"/>
  <c r="R125" i="3"/>
  <c r="R204" i="3"/>
  <c r="I36" i="3"/>
  <c r="C69" i="3"/>
  <c r="I204" i="3"/>
  <c r="T111" i="3"/>
  <c r="W111" i="3"/>
  <c r="N207" i="3"/>
  <c r="H207" i="3"/>
  <c r="K207" i="3"/>
  <c r="Q207" i="3"/>
  <c r="W207" i="3"/>
  <c r="C156" i="3"/>
  <c r="I156" i="3"/>
  <c r="O156" i="3"/>
  <c r="R156" i="3"/>
  <c r="F156" i="3"/>
  <c r="L62" i="3"/>
  <c r="O62" i="3"/>
  <c r="C62" i="3"/>
  <c r="R62" i="3"/>
  <c r="Q12" i="3"/>
  <c r="N12" i="3"/>
  <c r="W12" i="3"/>
  <c r="T25" i="3"/>
  <c r="K25" i="3"/>
  <c r="L90" i="3"/>
  <c r="R69" i="3"/>
  <c r="O69" i="3"/>
  <c r="J78" i="3"/>
  <c r="P78" i="3"/>
  <c r="S190" i="3"/>
  <c r="V190" i="3"/>
  <c r="I141" i="3"/>
  <c r="R141" i="3"/>
  <c r="F141" i="3"/>
  <c r="L141" i="3"/>
  <c r="F170" i="3"/>
  <c r="I170" i="3"/>
  <c r="R170" i="3"/>
  <c r="S170" i="3"/>
  <c r="D170" i="3"/>
  <c r="P170" i="3"/>
  <c r="M81" i="3"/>
  <c r="S81" i="3"/>
  <c r="C125" i="3"/>
  <c r="C86" i="3"/>
  <c r="U69" i="3"/>
  <c r="H123" i="3"/>
  <c r="K123" i="3"/>
  <c r="K176" i="3"/>
  <c r="E176" i="3"/>
  <c r="I155" i="3"/>
  <c r="O155" i="3"/>
  <c r="M153" i="3"/>
  <c r="J153" i="3"/>
  <c r="G153" i="3"/>
  <c r="P153" i="3"/>
  <c r="L184" i="3"/>
  <c r="C184" i="3"/>
  <c r="O184" i="3"/>
  <c r="N20" i="3"/>
  <c r="T20" i="3"/>
  <c r="K20" i="3"/>
  <c r="C165" i="3"/>
  <c r="L165" i="3"/>
  <c r="O165" i="3"/>
  <c r="U165" i="3"/>
  <c r="H20" i="3"/>
  <c r="O115" i="3"/>
  <c r="U115" i="3"/>
  <c r="C115" i="3"/>
  <c r="I115" i="3"/>
  <c r="V198" i="3"/>
  <c r="J198" i="3"/>
  <c r="G198" i="3"/>
  <c r="H11" i="3"/>
  <c r="W11" i="3"/>
  <c r="K11" i="3"/>
  <c r="S113" i="3"/>
  <c r="P219" i="3"/>
  <c r="M219" i="3"/>
  <c r="G219" i="3"/>
  <c r="C162" i="3"/>
  <c r="I162" i="3"/>
  <c r="U162" i="3"/>
  <c r="R162" i="3"/>
  <c r="L162" i="3"/>
  <c r="F162" i="3"/>
  <c r="P161" i="3"/>
  <c r="M161" i="3"/>
  <c r="D118" i="3"/>
  <c r="J118" i="3"/>
  <c r="V118" i="3"/>
  <c r="P118" i="3"/>
  <c r="G118" i="3"/>
  <c r="W64" i="3"/>
  <c r="T64" i="3"/>
  <c r="Q64" i="3"/>
  <c r="H64" i="3"/>
  <c r="W209" i="3"/>
  <c r="N209" i="3"/>
  <c r="Q176" i="3"/>
  <c r="N3" i="3"/>
  <c r="R51" i="3"/>
  <c r="Q178" i="3"/>
  <c r="T178" i="3"/>
  <c r="E178" i="3"/>
  <c r="W178" i="3"/>
  <c r="K178" i="3"/>
  <c r="T162" i="3"/>
  <c r="H162" i="3"/>
  <c r="K162" i="3"/>
  <c r="E162" i="3"/>
  <c r="L118" i="3"/>
  <c r="O118" i="3"/>
  <c r="L125" i="3"/>
  <c r="O50" i="3"/>
  <c r="F50" i="3"/>
  <c r="C109" i="3"/>
  <c r="O109" i="3"/>
  <c r="D11" i="3"/>
  <c r="S11" i="3"/>
  <c r="V11" i="3"/>
  <c r="D137" i="3"/>
  <c r="M137" i="3"/>
  <c r="J137" i="3"/>
  <c r="P137" i="3"/>
  <c r="S137" i="3"/>
  <c r="V161" i="3"/>
  <c r="D67" i="3"/>
  <c r="S67" i="3"/>
  <c r="P67" i="3"/>
  <c r="M67" i="3"/>
  <c r="P11" i="3"/>
  <c r="D212" i="3"/>
  <c r="S142" i="3"/>
  <c r="O76" i="3"/>
  <c r="T3" i="3"/>
  <c r="O51" i="3"/>
  <c r="V137" i="3"/>
  <c r="G11" i="3"/>
  <c r="V81" i="3"/>
  <c r="Q11" i="3"/>
  <c r="G142" i="3"/>
  <c r="S122" i="3"/>
  <c r="E118" i="3"/>
  <c r="L51" i="3"/>
  <c r="Q209" i="3"/>
  <c r="G137" i="3"/>
  <c r="W219" i="3"/>
  <c r="C155" i="3"/>
  <c r="R115" i="3"/>
  <c r="F23" i="3"/>
  <c r="U23" i="3"/>
  <c r="K216" i="3"/>
  <c r="W216" i="3"/>
  <c r="H216" i="3"/>
  <c r="Q192" i="3"/>
  <c r="T192" i="3"/>
  <c r="H192" i="3"/>
  <c r="G224" i="3"/>
  <c r="D161" i="3"/>
  <c r="G221" i="3"/>
  <c r="P81" i="3"/>
  <c r="L156" i="3"/>
  <c r="R176" i="3"/>
  <c r="M142" i="3"/>
  <c r="P207" i="3"/>
  <c r="P122" i="3"/>
  <c r="U24" i="3"/>
  <c r="L76" i="3"/>
  <c r="S118" i="3"/>
  <c r="N118" i="3"/>
  <c r="N11" i="3"/>
  <c r="N161" i="3"/>
  <c r="I51" i="3"/>
  <c r="H209" i="3"/>
  <c r="G154" i="3"/>
  <c r="Q219" i="3"/>
  <c r="R155" i="3"/>
  <c r="L115" i="3"/>
  <c r="H27" i="3"/>
  <c r="T27" i="3"/>
  <c r="H151" i="3"/>
  <c r="T123" i="3"/>
  <c r="M11" i="3"/>
  <c r="G81" i="3"/>
  <c r="R165" i="3"/>
  <c r="J170" i="3"/>
  <c r="C114" i="3"/>
  <c r="G83" i="3"/>
  <c r="I69" i="3"/>
  <c r="U135" i="3"/>
  <c r="D122" i="3"/>
  <c r="S219" i="3"/>
  <c r="U76" i="3"/>
  <c r="M118" i="3"/>
  <c r="O170" i="3"/>
  <c r="Q118" i="3"/>
  <c r="E11" i="3"/>
  <c r="T161" i="3"/>
  <c r="T209" i="3"/>
  <c r="P154" i="3"/>
  <c r="F155" i="3"/>
  <c r="V129" i="3"/>
  <c r="H83" i="3"/>
  <c r="Q83" i="3"/>
  <c r="E16" i="3"/>
  <c r="H16" i="3"/>
  <c r="W16" i="3"/>
  <c r="N16" i="3"/>
  <c r="K16" i="3"/>
  <c r="O182" i="3"/>
  <c r="I182" i="3"/>
  <c r="C182" i="3"/>
  <c r="F182" i="3"/>
  <c r="F20" i="3"/>
  <c r="U20" i="3"/>
  <c r="O20" i="3"/>
  <c r="P92" i="3"/>
  <c r="V92" i="3"/>
  <c r="G86" i="3"/>
  <c r="M86" i="3"/>
  <c r="V86" i="3"/>
  <c r="L78" i="3"/>
  <c r="F78" i="3"/>
  <c r="I78" i="3"/>
  <c r="R78" i="3"/>
  <c r="R86" i="3"/>
  <c r="F86" i="3"/>
  <c r="L86" i="3"/>
  <c r="U86" i="3"/>
  <c r="O90" i="3"/>
  <c r="F48" i="3"/>
  <c r="R48" i="3"/>
  <c r="I48" i="3"/>
  <c r="R95" i="3"/>
  <c r="F95" i="3"/>
  <c r="O95" i="3"/>
  <c r="I95" i="3"/>
  <c r="I90" i="3"/>
  <c r="O36" i="3"/>
  <c r="U90" i="3"/>
  <c r="U125" i="3"/>
  <c r="M113" i="3"/>
  <c r="L69" i="3"/>
  <c r="K219" i="3"/>
  <c r="E219" i="3"/>
  <c r="N219" i="3"/>
  <c r="M51" i="3"/>
  <c r="D51" i="3"/>
  <c r="V51" i="3"/>
  <c r="J51" i="3"/>
  <c r="P51" i="3"/>
  <c r="L204" i="3"/>
  <c r="U204" i="3"/>
  <c r="C204" i="3"/>
  <c r="W165" i="3"/>
  <c r="T165" i="3"/>
  <c r="E165" i="3"/>
  <c r="H165" i="3"/>
  <c r="Q165" i="3"/>
  <c r="S195" i="3"/>
  <c r="P195" i="3"/>
  <c r="J195" i="3"/>
  <c r="G195" i="3"/>
  <c r="M195" i="3"/>
  <c r="G123" i="3"/>
  <c r="U48" i="3"/>
  <c r="F125" i="3"/>
  <c r="W20" i="3"/>
  <c r="E3" i="3"/>
  <c r="H78" i="3"/>
  <c r="W78" i="3"/>
  <c r="P212" i="3"/>
  <c r="G212" i="3"/>
  <c r="S212" i="3"/>
  <c r="V212" i="3"/>
  <c r="C48" i="3"/>
  <c r="Q67" i="3"/>
  <c r="Q20" i="3"/>
  <c r="S161" i="3"/>
  <c r="V78" i="3"/>
  <c r="D219" i="3"/>
  <c r="R143" i="3"/>
  <c r="I143" i="3"/>
  <c r="F143" i="3"/>
  <c r="L143" i="3"/>
  <c r="J50" i="3"/>
  <c r="G50" i="3"/>
  <c r="D50" i="3"/>
  <c r="D225" i="3"/>
  <c r="M225" i="3"/>
  <c r="S225" i="3"/>
  <c r="G225" i="3"/>
  <c r="R168" i="3"/>
  <c r="O168" i="3"/>
  <c r="F168" i="3"/>
  <c r="I168" i="3"/>
  <c r="C168" i="3"/>
  <c r="U168" i="3"/>
  <c r="L168" i="3"/>
  <c r="I121" i="3"/>
  <c r="F121" i="3"/>
  <c r="U121" i="3"/>
  <c r="R226" i="3"/>
  <c r="F226" i="3"/>
  <c r="O226" i="3"/>
  <c r="H3" i="3"/>
  <c r="L48" i="3"/>
  <c r="K81" i="3"/>
  <c r="V142" i="3"/>
  <c r="H176" i="3"/>
  <c r="R76" i="3"/>
  <c r="V153" i="3"/>
  <c r="Q3" i="3"/>
  <c r="W21" i="3"/>
  <c r="O86" i="3"/>
  <c r="V219" i="3"/>
  <c r="U51" i="3"/>
  <c r="H12" i="3"/>
  <c r="L155" i="3"/>
  <c r="T210" i="3"/>
  <c r="K210" i="3"/>
  <c r="H210" i="3"/>
  <c r="T28" i="3"/>
  <c r="K28" i="3"/>
  <c r="M178" i="3"/>
  <c r="J178" i="3"/>
  <c r="D191" i="3"/>
  <c r="V191" i="3"/>
  <c r="V37" i="3"/>
  <c r="D37" i="3"/>
  <c r="M6" i="3"/>
  <c r="S6" i="3"/>
  <c r="Q151" i="3"/>
  <c r="S125" i="3"/>
  <c r="P125" i="3"/>
  <c r="C8" i="3"/>
  <c r="U8" i="3"/>
  <c r="L8" i="3"/>
  <c r="V189" i="3"/>
  <c r="G189" i="3"/>
  <c r="D9" i="3"/>
  <c r="S9" i="3"/>
  <c r="J9" i="3"/>
  <c r="D216" i="3"/>
  <c r="J216" i="3"/>
  <c r="M221" i="3"/>
  <c r="S221" i="3"/>
  <c r="D221" i="3"/>
  <c r="Q39" i="3"/>
  <c r="E39" i="3"/>
  <c r="H39" i="3"/>
  <c r="K39" i="3"/>
  <c r="N39" i="3"/>
  <c r="T39" i="3"/>
  <c r="E151" i="3"/>
  <c r="D125" i="3"/>
  <c r="O48" i="3"/>
  <c r="D81" i="3"/>
  <c r="U95" i="3"/>
  <c r="Q81" i="3"/>
  <c r="M9" i="3"/>
  <c r="G161" i="3"/>
  <c r="S153" i="3"/>
  <c r="E21" i="3"/>
  <c r="T12" i="3"/>
  <c r="U155" i="3"/>
  <c r="I14" i="3"/>
  <c r="C14" i="3"/>
  <c r="U176" i="3"/>
  <c r="C176" i="3"/>
  <c r="O176" i="3"/>
  <c r="C178" i="3"/>
  <c r="R178" i="3"/>
  <c r="K151" i="3"/>
  <c r="U156" i="3"/>
  <c r="H111" i="3"/>
  <c r="M125" i="3"/>
  <c r="C76" i="3"/>
  <c r="N210" i="3"/>
  <c r="J161" i="3"/>
  <c r="K3" i="3"/>
  <c r="U78" i="3"/>
  <c r="H161" i="3"/>
  <c r="W151" i="3"/>
  <c r="J11" i="3"/>
  <c r="M212" i="3"/>
  <c r="T151" i="3"/>
  <c r="Q25" i="3"/>
  <c r="S216" i="3"/>
  <c r="J81" i="3"/>
  <c r="F165" i="3"/>
  <c r="L176" i="3"/>
  <c r="S83" i="3"/>
  <c r="L12" i="3"/>
  <c r="F41" i="3"/>
  <c r="I135" i="3"/>
  <c r="G122" i="3"/>
  <c r="U184" i="3"/>
  <c r="C226" i="3"/>
  <c r="T11" i="3"/>
  <c r="S178" i="3"/>
  <c r="G67" i="3"/>
  <c r="R17" i="3"/>
  <c r="L17" i="3"/>
  <c r="D198" i="3"/>
  <c r="I28" i="3"/>
  <c r="U28" i="3"/>
  <c r="E56" i="3"/>
  <c r="Q56" i="3"/>
  <c r="G42" i="3"/>
  <c r="D42" i="3"/>
  <c r="S42" i="3"/>
  <c r="N90" i="3"/>
  <c r="H56" i="3"/>
  <c r="F136" i="3"/>
  <c r="W218" i="3"/>
  <c r="K202" i="3"/>
  <c r="O45" i="3"/>
  <c r="M43" i="3"/>
  <c r="D43" i="3"/>
  <c r="I43" i="3"/>
  <c r="U43" i="3"/>
  <c r="L43" i="3"/>
  <c r="R16" i="3"/>
  <c r="N56" i="3"/>
  <c r="T218" i="3"/>
  <c r="V105" i="3"/>
  <c r="P42" i="3"/>
  <c r="I112" i="3"/>
  <c r="U164" i="3"/>
  <c r="K109" i="3"/>
  <c r="T85" i="3"/>
  <c r="H85" i="3"/>
  <c r="D132" i="3"/>
  <c r="V132" i="3"/>
  <c r="S132" i="3"/>
  <c r="F33" i="3"/>
  <c r="L33" i="3"/>
  <c r="U33" i="3"/>
  <c r="P48" i="3"/>
  <c r="V48" i="3"/>
  <c r="U221" i="3"/>
  <c r="F221" i="3"/>
  <c r="L221" i="3"/>
  <c r="T202" i="3"/>
  <c r="Q202" i="3"/>
  <c r="H202" i="3"/>
  <c r="W202" i="3"/>
  <c r="R53" i="3"/>
  <c r="C53" i="3"/>
  <c r="K56" i="3"/>
  <c r="L136" i="3"/>
  <c r="L28" i="3"/>
  <c r="J29" i="3"/>
  <c r="M29" i="3"/>
  <c r="D29" i="3"/>
  <c r="D193" i="3"/>
  <c r="G193" i="3"/>
  <c r="Q188" i="3"/>
  <c r="H188" i="3"/>
  <c r="E188" i="3"/>
  <c r="E137" i="3"/>
  <c r="T137" i="3"/>
  <c r="K137" i="3"/>
  <c r="S53" i="3"/>
  <c r="V53" i="3"/>
  <c r="J53" i="3"/>
  <c r="J105" i="3"/>
  <c r="J73" i="3"/>
  <c r="S73" i="3"/>
  <c r="S91" i="3"/>
  <c r="V91" i="3"/>
  <c r="D95" i="3"/>
  <c r="M95" i="3"/>
  <c r="G53" i="3"/>
  <c r="S193" i="3"/>
  <c r="J95" i="3"/>
  <c r="M53" i="3"/>
  <c r="J48" i="3"/>
  <c r="L16" i="3"/>
  <c r="F112" i="3"/>
  <c r="W56" i="3"/>
  <c r="D15" i="3"/>
  <c r="G105" i="3"/>
  <c r="N202" i="3"/>
  <c r="V42" i="3"/>
  <c r="R112" i="3"/>
  <c r="L164" i="3"/>
  <c r="R150" i="3"/>
  <c r="L150" i="3"/>
  <c r="I150" i="3"/>
  <c r="O221" i="3"/>
  <c r="H51" i="3"/>
  <c r="T51" i="3"/>
  <c r="E51" i="3"/>
  <c r="I85" i="3"/>
  <c r="C85" i="3"/>
  <c r="F85" i="3"/>
  <c r="P5" i="3"/>
  <c r="J5" i="3"/>
  <c r="T6" i="3"/>
  <c r="U174" i="3"/>
  <c r="V121" i="3"/>
  <c r="S35" i="3"/>
  <c r="M35" i="3"/>
  <c r="J35" i="3"/>
  <c r="G35" i="3"/>
  <c r="S184" i="3"/>
  <c r="M184" i="3"/>
  <c r="D184" i="3"/>
  <c r="J125" i="3"/>
  <c r="F24" i="3"/>
  <c r="U71" i="3"/>
  <c r="J113" i="3"/>
  <c r="L20" i="3"/>
  <c r="T216" i="3"/>
  <c r="Q216" i="3"/>
  <c r="R219" i="3"/>
  <c r="C219" i="3"/>
  <c r="W37" i="3"/>
  <c r="K37" i="3"/>
  <c r="Q37" i="3"/>
  <c r="N37" i="3"/>
  <c r="H37" i="3"/>
  <c r="T37" i="3"/>
  <c r="Q21" i="3"/>
  <c r="N21" i="3"/>
  <c r="H21" i="3"/>
  <c r="T21" i="3"/>
  <c r="F118" i="3"/>
  <c r="R118" i="3"/>
  <c r="S129" i="3"/>
  <c r="D129" i="3"/>
  <c r="M129" i="3"/>
  <c r="P35" i="3"/>
  <c r="N96" i="3"/>
  <c r="F154" i="3"/>
  <c r="L154" i="3"/>
  <c r="M182" i="3"/>
  <c r="G182" i="3"/>
  <c r="D182" i="3"/>
  <c r="O99" i="3"/>
  <c r="F99" i="3"/>
  <c r="L99" i="3"/>
  <c r="R99" i="3"/>
  <c r="U99" i="3"/>
  <c r="I12" i="3"/>
  <c r="V35" i="3"/>
  <c r="U154" i="3"/>
  <c r="D196" i="3"/>
  <c r="V196" i="3"/>
  <c r="P196" i="3"/>
  <c r="G196" i="3"/>
  <c r="J196" i="3"/>
  <c r="F12" i="3"/>
  <c r="V113" i="3"/>
  <c r="I154" i="3"/>
  <c r="N196" i="3"/>
  <c r="W196" i="3"/>
  <c r="H196" i="3"/>
  <c r="C23" i="3"/>
  <c r="L23" i="3"/>
  <c r="I23" i="3"/>
  <c r="O23" i="3"/>
  <c r="D36" i="3"/>
  <c r="M36" i="3"/>
  <c r="S36" i="3"/>
  <c r="J36" i="3"/>
  <c r="V36" i="3"/>
  <c r="F39" i="3"/>
  <c r="L39" i="3"/>
  <c r="R39" i="3"/>
  <c r="U39" i="3"/>
  <c r="C39" i="3"/>
  <c r="I39" i="3"/>
  <c r="M224" i="3"/>
  <c r="U127" i="3"/>
  <c r="I127" i="3"/>
  <c r="L127" i="3"/>
  <c r="M196" i="3"/>
  <c r="E30" i="3"/>
  <c r="Q30" i="3"/>
  <c r="K30" i="3"/>
  <c r="U196" i="3"/>
  <c r="L196" i="3"/>
  <c r="I79" i="3"/>
  <c r="F79" i="3"/>
  <c r="C79" i="3"/>
  <c r="E27" i="3"/>
  <c r="W27" i="3"/>
  <c r="M123" i="3"/>
  <c r="S123" i="3"/>
  <c r="D78" i="3"/>
  <c r="M78" i="3"/>
  <c r="S78" i="3"/>
  <c r="G78" i="3"/>
  <c r="J190" i="3"/>
  <c r="M190" i="3"/>
  <c r="D190" i="3"/>
  <c r="J123" i="3"/>
  <c r="H30" i="3"/>
  <c r="S224" i="3"/>
  <c r="T196" i="3"/>
  <c r="E196" i="3"/>
  <c r="C141" i="3"/>
  <c r="V224" i="3"/>
  <c r="E10" i="3"/>
  <c r="C71" i="3"/>
  <c r="G113" i="3"/>
  <c r="O154" i="3"/>
  <c r="J127" i="3"/>
  <c r="G127" i="3"/>
  <c r="P127" i="3"/>
  <c r="W192" i="3"/>
  <c r="N192" i="3"/>
  <c r="S27" i="3"/>
  <c r="M27" i="3"/>
  <c r="G27" i="3"/>
  <c r="J37" i="3"/>
  <c r="M37" i="3"/>
  <c r="S37" i="3"/>
  <c r="P37" i="3"/>
  <c r="S162" i="3"/>
  <c r="J162" i="3"/>
  <c r="V162" i="3"/>
  <c r="D162" i="3"/>
  <c r="P162" i="3"/>
  <c r="U21" i="3"/>
  <c r="R21" i="3"/>
  <c r="U143" i="3"/>
  <c r="C143" i="3"/>
  <c r="O143" i="3"/>
  <c r="O52" i="3"/>
  <c r="I52" i="3"/>
  <c r="F52" i="3"/>
  <c r="L52" i="3"/>
  <c r="R52" i="3"/>
  <c r="M207" i="3"/>
  <c r="J207" i="3"/>
  <c r="S207" i="3"/>
  <c r="G207" i="3"/>
  <c r="L120" i="3"/>
  <c r="I120" i="3"/>
  <c r="C120" i="3"/>
  <c r="R120" i="3"/>
  <c r="I183" i="3"/>
  <c r="C183" i="3"/>
  <c r="L183" i="3"/>
  <c r="C170" i="3"/>
  <c r="U170" i="3"/>
  <c r="L170" i="3"/>
  <c r="T30" i="3"/>
  <c r="F21" i="3"/>
  <c r="C196" i="3"/>
  <c r="C154" i="3"/>
  <c r="D224" i="3"/>
  <c r="G37" i="3"/>
  <c r="K10" i="3"/>
  <c r="I71" i="3"/>
  <c r="R127" i="3"/>
  <c r="P27" i="3"/>
  <c r="K192" i="3"/>
  <c r="V34" i="3"/>
  <c r="J34" i="3"/>
  <c r="G34" i="3"/>
  <c r="M34" i="3"/>
  <c r="D98" i="3"/>
  <c r="M98" i="3"/>
  <c r="P98" i="3"/>
  <c r="W154" i="3"/>
  <c r="N154" i="3"/>
  <c r="H154" i="3"/>
  <c r="P190" i="3"/>
  <c r="R108" i="3"/>
  <c r="U108" i="3"/>
  <c r="L108" i="3"/>
  <c r="N78" i="3"/>
  <c r="E78" i="3"/>
  <c r="T78" i="3"/>
  <c r="K78" i="3"/>
  <c r="Q78" i="3"/>
  <c r="K64" i="3"/>
  <c r="Q211" i="3"/>
  <c r="N211" i="3"/>
  <c r="T211" i="3"/>
  <c r="E211" i="3"/>
  <c r="I114" i="3"/>
  <c r="F114" i="3"/>
  <c r="P123" i="3"/>
  <c r="S34" i="3"/>
  <c r="I196" i="3"/>
  <c r="O127" i="3"/>
  <c r="V98" i="3"/>
  <c r="N64" i="3"/>
  <c r="P224" i="3"/>
  <c r="S191" i="3"/>
  <c r="Q10" i="3"/>
  <c r="R71" i="3"/>
  <c r="C127" i="3"/>
  <c r="V27" i="3"/>
  <c r="E192" i="3"/>
  <c r="K96" i="3"/>
  <c r="D121" i="3"/>
  <c r="O108" i="3"/>
  <c r="L122" i="3"/>
  <c r="R122" i="3"/>
  <c r="O122" i="3"/>
  <c r="P50" i="3"/>
  <c r="S50" i="3"/>
  <c r="P225" i="3"/>
  <c r="V225" i="3"/>
  <c r="G6" i="3"/>
  <c r="D207" i="3"/>
  <c r="E64" i="3"/>
  <c r="M191" i="3"/>
  <c r="T10" i="3"/>
  <c r="O71" i="3"/>
  <c r="F127" i="3"/>
  <c r="J27" i="3"/>
  <c r="E96" i="3"/>
  <c r="T96" i="3"/>
  <c r="U183" i="3"/>
  <c r="M121" i="3"/>
  <c r="C122" i="3"/>
  <c r="D68" i="3"/>
  <c r="M68" i="3"/>
  <c r="E92" i="3"/>
  <c r="W92" i="3"/>
  <c r="K185" i="3"/>
  <c r="Q185" i="3"/>
  <c r="C136" i="3"/>
  <c r="I136" i="3"/>
  <c r="R8" i="3"/>
  <c r="F8" i="3"/>
  <c r="I8" i="3"/>
  <c r="O8" i="3"/>
  <c r="S168" i="3"/>
  <c r="G168" i="3"/>
  <c r="P168" i="3"/>
  <c r="V168" i="3"/>
  <c r="D168" i="3"/>
  <c r="V125" i="3"/>
  <c r="V6" i="3"/>
  <c r="G98" i="3"/>
  <c r="P182" i="3"/>
  <c r="R50" i="3"/>
  <c r="G191" i="3"/>
  <c r="P113" i="3"/>
  <c r="R136" i="3"/>
  <c r="F71" i="3"/>
  <c r="O141" i="3"/>
  <c r="G36" i="3"/>
  <c r="S127" i="3"/>
  <c r="Q96" i="3"/>
  <c r="G121" i="3"/>
  <c r="I122" i="3"/>
  <c r="N42" i="3"/>
  <c r="H42" i="3"/>
  <c r="I68" i="3"/>
  <c r="L68" i="3"/>
  <c r="Q58" i="3"/>
  <c r="G188" i="3"/>
  <c r="M127" i="3"/>
  <c r="D6" i="3"/>
  <c r="J98" i="3"/>
  <c r="J182" i="3"/>
  <c r="C50" i="3"/>
  <c r="P191" i="3"/>
  <c r="U141" i="3"/>
  <c r="P36" i="3"/>
  <c r="H96" i="3"/>
  <c r="G162" i="3"/>
  <c r="R183" i="3"/>
  <c r="J121" i="3"/>
  <c r="U122" i="3"/>
  <c r="L198" i="3"/>
  <c r="R198" i="3"/>
  <c r="N126" i="3"/>
  <c r="H126" i="3"/>
  <c r="E126" i="3"/>
  <c r="N110" i="3"/>
  <c r="E110" i="3"/>
  <c r="K26" i="3"/>
  <c r="H26" i="3"/>
  <c r="W26" i="3"/>
  <c r="O188" i="3"/>
  <c r="F188" i="3"/>
  <c r="U188" i="3"/>
  <c r="O39" i="3"/>
  <c r="K58" i="3"/>
  <c r="R188" i="3"/>
  <c r="I178" i="3"/>
  <c r="U216" i="3"/>
  <c r="J6" i="3"/>
  <c r="S189" i="3"/>
  <c r="L114" i="3"/>
  <c r="V182" i="3"/>
  <c r="C12" i="3"/>
  <c r="U50" i="3"/>
  <c r="J191" i="3"/>
  <c r="C144" i="3"/>
  <c r="V184" i="3"/>
  <c r="C99" i="3"/>
  <c r="J189" i="3"/>
  <c r="V127" i="3"/>
  <c r="U120" i="3"/>
  <c r="I20" i="3"/>
  <c r="U118" i="3"/>
  <c r="W96" i="3"/>
  <c r="M162" i="3"/>
  <c r="O183" i="3"/>
  <c r="J129" i="3"/>
  <c r="P121" i="3"/>
  <c r="F122" i="3"/>
  <c r="W22" i="3"/>
  <c r="E22" i="3"/>
  <c r="H22" i="3"/>
  <c r="Q135" i="3"/>
  <c r="N135" i="3"/>
  <c r="T135" i="3"/>
  <c r="H135" i="3"/>
  <c r="K135" i="3"/>
  <c r="C17" i="3"/>
  <c r="F17" i="3"/>
  <c r="T227" i="3"/>
  <c r="N227" i="3"/>
  <c r="Q227" i="3"/>
  <c r="K227" i="3"/>
  <c r="W227" i="3"/>
  <c r="V123" i="3"/>
  <c r="E58" i="3"/>
  <c r="N162" i="3"/>
  <c r="S188" i="3"/>
  <c r="O136" i="3"/>
  <c r="O114" i="3"/>
  <c r="S182" i="3"/>
  <c r="K41" i="3"/>
  <c r="O12" i="3"/>
  <c r="O144" i="3"/>
  <c r="G184" i="3"/>
  <c r="M189" i="3"/>
  <c r="D35" i="3"/>
  <c r="D127" i="3"/>
  <c r="O120" i="3"/>
  <c r="R20" i="3"/>
  <c r="F183" i="3"/>
  <c r="G129" i="3"/>
  <c r="R149" i="3"/>
  <c r="N123" i="3"/>
  <c r="E123" i="3"/>
  <c r="Q123" i="3"/>
  <c r="N176" i="3"/>
  <c r="R28" i="3"/>
  <c r="F28" i="3"/>
  <c r="J146" i="3"/>
  <c r="O103" i="3"/>
  <c r="O149" i="3"/>
  <c r="I164" i="3"/>
  <c r="I206" i="3"/>
  <c r="U206" i="3"/>
  <c r="S146" i="3"/>
  <c r="N165" i="3"/>
  <c r="T176" i="3"/>
  <c r="S29" i="3"/>
  <c r="L103" i="3"/>
  <c r="M42" i="3"/>
  <c r="C149" i="3"/>
  <c r="C164" i="3"/>
  <c r="G110" i="3"/>
  <c r="P110" i="3"/>
  <c r="M61" i="3"/>
  <c r="D61" i="3"/>
  <c r="W123" i="3"/>
  <c r="M146" i="3"/>
  <c r="I42" i="3"/>
  <c r="K165" i="3"/>
  <c r="W176" i="3"/>
  <c r="G29" i="3"/>
  <c r="S105" i="3"/>
  <c r="U119" i="3"/>
  <c r="N43" i="3"/>
  <c r="I149" i="3"/>
  <c r="F150" i="3"/>
  <c r="V204" i="3"/>
  <c r="P204" i="3"/>
  <c r="D220" i="3"/>
  <c r="P220" i="3"/>
  <c r="K161" i="3"/>
  <c r="H178" i="3"/>
  <c r="R182" i="3"/>
  <c r="J160" i="3"/>
  <c r="P160" i="3"/>
  <c r="G160" i="3"/>
  <c r="V160" i="3"/>
  <c r="D160" i="3"/>
  <c r="F211" i="3"/>
  <c r="I211" i="3"/>
  <c r="G112" i="3"/>
  <c r="V112" i="3"/>
  <c r="M112" i="3"/>
  <c r="D112" i="3"/>
  <c r="P205" i="3"/>
  <c r="G205" i="3"/>
  <c r="V192" i="3"/>
  <c r="S192" i="3"/>
  <c r="C191" i="3"/>
  <c r="L191" i="3"/>
  <c r="O191" i="3"/>
  <c r="I37" i="3"/>
  <c r="C37" i="3"/>
  <c r="M21" i="3"/>
  <c r="P21" i="3"/>
  <c r="G21" i="3"/>
  <c r="L6" i="3"/>
  <c r="O6" i="3"/>
  <c r="C6" i="3"/>
  <c r="U6" i="3"/>
  <c r="F157" i="3"/>
  <c r="U157" i="3"/>
  <c r="V148" i="3"/>
  <c r="I216" i="3"/>
  <c r="O216" i="3"/>
  <c r="R216" i="3"/>
  <c r="Q84" i="3"/>
  <c r="T84" i="3"/>
  <c r="R195" i="3"/>
  <c r="T68" i="3"/>
  <c r="K68" i="3"/>
  <c r="Q68" i="3"/>
  <c r="E191" i="3"/>
  <c r="H191" i="3"/>
  <c r="K191" i="3"/>
  <c r="D30" i="3"/>
  <c r="J30" i="3"/>
  <c r="G30" i="3"/>
  <c r="V144" i="3"/>
  <c r="J144" i="3"/>
  <c r="G144" i="3"/>
  <c r="R171" i="3"/>
  <c r="L171" i="3"/>
  <c r="I171" i="3"/>
  <c r="P148" i="3"/>
  <c r="E43" i="3"/>
  <c r="N84" i="3"/>
  <c r="M205" i="3"/>
  <c r="C198" i="3"/>
  <c r="F198" i="3"/>
  <c r="I198" i="3"/>
  <c r="O198" i="3"/>
  <c r="K98" i="3"/>
  <c r="Q98" i="3"/>
  <c r="D84" i="3"/>
  <c r="M84" i="3"/>
  <c r="J84" i="3"/>
  <c r="P84" i="3"/>
  <c r="S84" i="3"/>
  <c r="H139" i="3"/>
  <c r="N139" i="3"/>
  <c r="E139" i="3"/>
  <c r="K139" i="3"/>
  <c r="D20" i="3"/>
  <c r="G20" i="3"/>
  <c r="E62" i="3"/>
  <c r="N62" i="3"/>
  <c r="T62" i="3"/>
  <c r="K62" i="3"/>
  <c r="Q62" i="3"/>
  <c r="N177" i="3"/>
  <c r="E177" i="3"/>
  <c r="H177" i="3"/>
  <c r="W177" i="3"/>
  <c r="K177" i="3"/>
  <c r="K48" i="3"/>
  <c r="W48" i="3"/>
  <c r="Q48" i="3"/>
  <c r="T185" i="3"/>
  <c r="N185" i="3"/>
  <c r="E185" i="3"/>
  <c r="H185" i="3"/>
  <c r="S148" i="3"/>
  <c r="E98" i="3"/>
  <c r="C216" i="3"/>
  <c r="V68" i="3"/>
  <c r="L144" i="3"/>
  <c r="W43" i="3"/>
  <c r="J28" i="3"/>
  <c r="R157" i="3"/>
  <c r="W185" i="3"/>
  <c r="J205" i="3"/>
  <c r="P112" i="3"/>
  <c r="H198" i="3"/>
  <c r="K198" i="3"/>
  <c r="N198" i="3"/>
  <c r="E198" i="3"/>
  <c r="Q22" i="3"/>
  <c r="N22" i="3"/>
  <c r="K22" i="3"/>
  <c r="K70" i="3"/>
  <c r="E70" i="3"/>
  <c r="I97" i="3"/>
  <c r="O97" i="3"/>
  <c r="C97" i="3"/>
  <c r="W42" i="3"/>
  <c r="T42" i="3"/>
  <c r="K42" i="3"/>
  <c r="D86" i="3"/>
  <c r="P86" i="3"/>
  <c r="C68" i="3"/>
  <c r="U68" i="3"/>
  <c r="F68" i="3"/>
  <c r="D90" i="3"/>
  <c r="M90" i="3"/>
  <c r="G90" i="3"/>
  <c r="S92" i="3"/>
  <c r="D92" i="3"/>
  <c r="T198" i="3"/>
  <c r="M188" i="3"/>
  <c r="D148" i="3"/>
  <c r="W98" i="3"/>
  <c r="J192" i="3"/>
  <c r="G84" i="3"/>
  <c r="E48" i="3"/>
  <c r="G92" i="3"/>
  <c r="R144" i="3"/>
  <c r="E68" i="3"/>
  <c r="Q43" i="3"/>
  <c r="M177" i="3"/>
  <c r="M28" i="3"/>
  <c r="J86" i="3"/>
  <c r="C157" i="3"/>
  <c r="U199" i="3"/>
  <c r="D205" i="3"/>
  <c r="S112" i="3"/>
  <c r="C192" i="3"/>
  <c r="R192" i="3"/>
  <c r="L192" i="3"/>
  <c r="F192" i="3"/>
  <c r="O192" i="3"/>
  <c r="Q184" i="3"/>
  <c r="E184" i="3"/>
  <c r="T184" i="3"/>
  <c r="N184" i="3"/>
  <c r="H184" i="3"/>
  <c r="W184" i="3"/>
  <c r="K148" i="3"/>
  <c r="T148" i="3"/>
  <c r="N148" i="3"/>
  <c r="W148" i="3"/>
  <c r="C56" i="3"/>
  <c r="F56" i="3"/>
  <c r="I56" i="3"/>
  <c r="L56" i="3"/>
  <c r="F83" i="3"/>
  <c r="L83" i="3"/>
  <c r="Q26" i="3"/>
  <c r="N26" i="3"/>
  <c r="E26" i="3"/>
  <c r="W158" i="3"/>
  <c r="K158" i="3"/>
  <c r="N158" i="3"/>
  <c r="E158" i="3"/>
  <c r="Q158" i="3"/>
  <c r="O177" i="3"/>
  <c r="R177" i="3"/>
  <c r="U177" i="3"/>
  <c r="I177" i="3"/>
  <c r="L177" i="3"/>
  <c r="C177" i="3"/>
  <c r="D202" i="3"/>
  <c r="V202" i="3"/>
  <c r="G202" i="3"/>
  <c r="V22" i="3"/>
  <c r="G22" i="3"/>
  <c r="S22" i="3"/>
  <c r="P22" i="3"/>
  <c r="M22" i="3"/>
  <c r="D22" i="3"/>
  <c r="C188" i="3"/>
  <c r="L188" i="3"/>
  <c r="I188" i="3"/>
  <c r="F3" i="3"/>
  <c r="R3" i="3"/>
  <c r="O3" i="3"/>
  <c r="L3" i="3"/>
  <c r="I3" i="3"/>
  <c r="U3" i="3"/>
  <c r="U213" i="3"/>
  <c r="I213" i="3"/>
  <c r="L213" i="3"/>
  <c r="O213" i="3"/>
  <c r="R213" i="3"/>
  <c r="Q198" i="3"/>
  <c r="I6" i="3"/>
  <c r="N70" i="3"/>
  <c r="N48" i="3"/>
  <c r="M92" i="3"/>
  <c r="F177" i="3"/>
  <c r="Q177" i="3"/>
  <c r="G68" i="3"/>
  <c r="Q126" i="3"/>
  <c r="N68" i="3"/>
  <c r="K43" i="3"/>
  <c r="C3" i="3"/>
  <c r="D177" i="3"/>
  <c r="S28" i="3"/>
  <c r="I199" i="3"/>
  <c r="T22" i="3"/>
  <c r="J112" i="3"/>
  <c r="K170" i="3"/>
  <c r="Q170" i="3"/>
  <c r="O224" i="3"/>
  <c r="R224" i="3"/>
  <c r="R42" i="3"/>
  <c r="C42" i="3"/>
  <c r="U42" i="3"/>
  <c r="O42" i="3"/>
  <c r="J69" i="3"/>
  <c r="S69" i="3"/>
  <c r="V176" i="3"/>
  <c r="S176" i="3"/>
  <c r="G48" i="3"/>
  <c r="Q224" i="3"/>
  <c r="T224" i="3"/>
  <c r="K224" i="3"/>
  <c r="N224" i="3"/>
  <c r="H224" i="3"/>
  <c r="U22" i="3"/>
  <c r="O22" i="3"/>
  <c r="R22" i="3"/>
  <c r="L22" i="3"/>
  <c r="C22" i="3"/>
  <c r="E146" i="3"/>
  <c r="H146" i="3"/>
  <c r="T146" i="3"/>
  <c r="K146" i="3"/>
  <c r="I17" i="3"/>
  <c r="U17" i="3"/>
  <c r="K184" i="3"/>
  <c r="E224" i="3"/>
  <c r="G148" i="3"/>
  <c r="T98" i="3"/>
  <c r="U198" i="3"/>
  <c r="W70" i="3"/>
  <c r="H48" i="3"/>
  <c r="Q139" i="3"/>
  <c r="M69" i="3"/>
  <c r="J92" i="3"/>
  <c r="J122" i="3"/>
  <c r="T177" i="3"/>
  <c r="C148" i="3"/>
  <c r="S68" i="3"/>
  <c r="D144" i="3"/>
  <c r="C211" i="3"/>
  <c r="E84" i="3"/>
  <c r="J177" i="3"/>
  <c r="O17" i="3"/>
  <c r="I157" i="3"/>
  <c r="E227" i="3"/>
  <c r="S205" i="3"/>
  <c r="H148" i="3"/>
  <c r="L98" i="3"/>
  <c r="J94" i="3"/>
  <c r="P94" i="3"/>
  <c r="V94" i="3"/>
  <c r="S94" i="3"/>
  <c r="N156" i="3"/>
  <c r="E156" i="3"/>
  <c r="T156" i="3"/>
  <c r="Q156" i="3"/>
  <c r="W210" i="3"/>
  <c r="Q210" i="3"/>
  <c r="N28" i="3"/>
  <c r="W28" i="3"/>
  <c r="E28" i="3"/>
  <c r="H28" i="3"/>
  <c r="Q28" i="3"/>
  <c r="O55" i="3"/>
  <c r="R55" i="3"/>
  <c r="U55" i="3"/>
  <c r="F55" i="3"/>
  <c r="T195" i="3"/>
  <c r="N195" i="3"/>
  <c r="H195" i="3"/>
  <c r="W195" i="3"/>
  <c r="Q195" i="3"/>
  <c r="U64" i="3"/>
  <c r="O64" i="3"/>
  <c r="H90" i="3"/>
  <c r="K90" i="3"/>
  <c r="Q90" i="3"/>
  <c r="E90" i="3"/>
  <c r="T90" i="3"/>
  <c r="J135" i="3"/>
  <c r="D135" i="3"/>
  <c r="G135" i="3"/>
  <c r="S135" i="3"/>
  <c r="P135" i="3"/>
  <c r="E218" i="3"/>
  <c r="H218" i="3"/>
  <c r="Q218" i="3"/>
  <c r="K218" i="3"/>
  <c r="D146" i="3"/>
  <c r="V146" i="3"/>
  <c r="K31" i="3"/>
  <c r="N31" i="3"/>
  <c r="R103" i="3"/>
  <c r="I103" i="3"/>
  <c r="C103" i="3"/>
  <c r="H170" i="3"/>
  <c r="V188" i="3"/>
  <c r="M148" i="3"/>
  <c r="N98" i="3"/>
  <c r="R6" i="3"/>
  <c r="T70" i="3"/>
  <c r="T48" i="3"/>
  <c r="I195" i="3"/>
  <c r="T139" i="3"/>
  <c r="R191" i="3"/>
  <c r="U26" i="3"/>
  <c r="U148" i="3"/>
  <c r="J68" i="3"/>
  <c r="J43" i="3"/>
  <c r="H68" i="3"/>
  <c r="S144" i="3"/>
  <c r="O211" i="3"/>
  <c r="H84" i="3"/>
  <c r="G177" i="3"/>
  <c r="F37" i="3"/>
  <c r="Q146" i="3"/>
  <c r="E31" i="3"/>
  <c r="O157" i="3"/>
  <c r="R199" i="3"/>
  <c r="V205" i="3"/>
  <c r="C98" i="3"/>
  <c r="N38" i="3"/>
  <c r="Q38" i="3"/>
  <c r="E38" i="3"/>
  <c r="H38" i="3"/>
  <c r="Q86" i="3"/>
  <c r="K86" i="3"/>
  <c r="W86" i="3"/>
  <c r="H86" i="3"/>
  <c r="E86" i="3"/>
  <c r="C210" i="3"/>
  <c r="F210" i="3"/>
  <c r="F14" i="3"/>
  <c r="L14" i="3"/>
  <c r="C41" i="3"/>
  <c r="L41" i="3"/>
  <c r="U41" i="3"/>
  <c r="I41" i="3"/>
  <c r="D62" i="3"/>
  <c r="J62" i="3"/>
  <c r="R218" i="3"/>
  <c r="O218" i="3"/>
  <c r="F218" i="3"/>
  <c r="U218" i="3"/>
  <c r="L218" i="3"/>
  <c r="D156" i="3"/>
  <c r="G156" i="3"/>
  <c r="M156" i="3"/>
  <c r="J156" i="3"/>
  <c r="P156" i="3"/>
  <c r="H112" i="3"/>
  <c r="K112" i="3"/>
  <c r="Q65" i="3"/>
  <c r="N65" i="3"/>
  <c r="T65" i="3"/>
  <c r="Q132" i="3"/>
  <c r="N132" i="3"/>
  <c r="I45" i="3"/>
  <c r="U45" i="3"/>
  <c r="R45" i="3"/>
  <c r="F45" i="3"/>
  <c r="R75" i="3"/>
  <c r="C75" i="3"/>
  <c r="F75" i="3"/>
  <c r="U75" i="3"/>
  <c r="W170" i="3"/>
  <c r="C224" i="3"/>
  <c r="W139" i="3"/>
  <c r="Q112" i="3"/>
  <c r="F6" i="3"/>
  <c r="R210" i="3"/>
  <c r="U210" i="3"/>
  <c r="R14" i="3"/>
  <c r="U195" i="3"/>
  <c r="U191" i="3"/>
  <c r="L26" i="3"/>
  <c r="G192" i="3"/>
  <c r="G94" i="3"/>
  <c r="T38" i="3"/>
  <c r="J21" i="3"/>
  <c r="W68" i="3"/>
  <c r="K110" i="3"/>
  <c r="P144" i="3"/>
  <c r="U211" i="3"/>
  <c r="W84" i="3"/>
  <c r="S177" i="3"/>
  <c r="U37" i="3"/>
  <c r="N146" i="3"/>
  <c r="T31" i="3"/>
  <c r="L157" i="3"/>
  <c r="O199" i="3"/>
  <c r="O75" i="3"/>
  <c r="L97" i="3"/>
  <c r="E148" i="3"/>
  <c r="I98" i="3"/>
  <c r="E41" i="3"/>
  <c r="N41" i="3"/>
  <c r="W41" i="3"/>
  <c r="F160" i="3"/>
  <c r="U160" i="3"/>
  <c r="C160" i="3"/>
  <c r="I160" i="3"/>
  <c r="I65" i="3"/>
  <c r="O65" i="3"/>
  <c r="L65" i="3"/>
  <c r="E204" i="3"/>
  <c r="K204" i="3"/>
  <c r="N204" i="3"/>
  <c r="Q204" i="3"/>
  <c r="Q85" i="3"/>
  <c r="K85" i="3"/>
  <c r="N85" i="3"/>
  <c r="P132" i="3"/>
  <c r="J132" i="3"/>
  <c r="V61" i="3"/>
  <c r="S61" i="3"/>
  <c r="E170" i="3"/>
  <c r="H58" i="3"/>
  <c r="V62" i="3"/>
  <c r="N112" i="3"/>
  <c r="H70" i="3"/>
  <c r="U14" i="3"/>
  <c r="V218" i="3"/>
  <c r="L64" i="3"/>
  <c r="L195" i="3"/>
  <c r="T41" i="3"/>
  <c r="E132" i="3"/>
  <c r="P176" i="3"/>
  <c r="I191" i="3"/>
  <c r="I26" i="3"/>
  <c r="S150" i="3"/>
  <c r="T158" i="3"/>
  <c r="P192" i="3"/>
  <c r="D94" i="3"/>
  <c r="C24" i="3"/>
  <c r="V20" i="3"/>
  <c r="R148" i="3"/>
  <c r="P202" i="3"/>
  <c r="D21" i="3"/>
  <c r="G43" i="3"/>
  <c r="H110" i="3"/>
  <c r="M144" i="3"/>
  <c r="R211" i="3"/>
  <c r="M73" i="3"/>
  <c r="T92" i="3"/>
  <c r="P177" i="3"/>
  <c r="C218" i="3"/>
  <c r="R37" i="3"/>
  <c r="W146" i="3"/>
  <c r="W31" i="3"/>
  <c r="C171" i="3"/>
  <c r="L199" i="3"/>
  <c r="I75" i="3"/>
  <c r="R23" i="3"/>
  <c r="Q148" i="3"/>
  <c r="F98" i="3"/>
  <c r="K196" i="3"/>
  <c r="W204" i="3"/>
  <c r="W112" i="3"/>
  <c r="V30" i="3"/>
  <c r="Q70" i="3"/>
  <c r="O14" i="3"/>
  <c r="I64" i="3"/>
  <c r="C195" i="3"/>
  <c r="C83" i="3"/>
  <c r="H41" i="3"/>
  <c r="K84" i="3"/>
  <c r="H132" i="3"/>
  <c r="J176" i="3"/>
  <c r="F191" i="3"/>
  <c r="R26" i="3"/>
  <c r="P61" i="3"/>
  <c r="L92" i="3"/>
  <c r="G150" i="3"/>
  <c r="D192" i="3"/>
  <c r="M94" i="3"/>
  <c r="O24" i="3"/>
  <c r="S20" i="3"/>
  <c r="J218" i="3"/>
  <c r="I148" i="3"/>
  <c r="J202" i="3"/>
  <c r="W110" i="3"/>
  <c r="D73" i="3"/>
  <c r="I218" i="3"/>
  <c r="O37" i="3"/>
  <c r="H31" i="3"/>
  <c r="U171" i="3"/>
  <c r="F199" i="3"/>
  <c r="L75" i="3"/>
  <c r="R97" i="3"/>
  <c r="O98" i="3"/>
  <c r="S160" i="3"/>
  <c r="N170" i="3"/>
  <c r="H204" i="3"/>
  <c r="M30" i="3"/>
  <c r="U56" i="3"/>
  <c r="F64" i="3"/>
  <c r="S156" i="3"/>
  <c r="O195" i="3"/>
  <c r="U83" i="3"/>
  <c r="U103" i="3"/>
  <c r="T132" i="3"/>
  <c r="D176" i="3"/>
  <c r="O26" i="3"/>
  <c r="O92" i="3"/>
  <c r="P150" i="3"/>
  <c r="H158" i="3"/>
  <c r="M192" i="3"/>
  <c r="I24" i="3"/>
  <c r="M20" i="3"/>
  <c r="G218" i="3"/>
  <c r="O148" i="3"/>
  <c r="S202" i="3"/>
  <c r="S21" i="3"/>
  <c r="L211" i="3"/>
  <c r="G73" i="3"/>
  <c r="N92" i="3"/>
  <c r="L37" i="3"/>
  <c r="Q31" i="3"/>
  <c r="C213" i="3"/>
  <c r="U97" i="3"/>
  <c r="R98" i="3"/>
  <c r="M160" i="3"/>
  <c r="T170" i="3"/>
  <c r="T204" i="3"/>
  <c r="D48" i="3"/>
  <c r="V156" i="3"/>
  <c r="F195" i="3"/>
  <c r="R83" i="3"/>
  <c r="F92" i="3"/>
  <c r="L24" i="3"/>
  <c r="J20" i="3"/>
  <c r="P218" i="3"/>
  <c r="L148" i="3"/>
  <c r="T126" i="3"/>
  <c r="I144" i="3"/>
  <c r="M202" i="3"/>
  <c r="V21" i="3"/>
  <c r="T110" i="3"/>
  <c r="P73" i="3"/>
  <c r="K92" i="3"/>
  <c r="W191" i="3"/>
  <c r="Q42" i="3"/>
  <c r="J22" i="3"/>
  <c r="O171" i="3"/>
  <c r="F97" i="3"/>
  <c r="N86" i="3"/>
  <c r="G146" i="3"/>
  <c r="D188" i="3"/>
  <c r="W62" i="3"/>
  <c r="F216" i="3"/>
  <c r="P30" i="3"/>
  <c r="R56" i="3"/>
  <c r="R64" i="3"/>
  <c r="O83" i="3"/>
  <c r="W132" i="3"/>
  <c r="G176" i="3"/>
  <c r="O68" i="3"/>
  <c r="F26" i="3"/>
  <c r="R92" i="3"/>
  <c r="V150" i="3"/>
  <c r="U192" i="3"/>
  <c r="P20" i="3"/>
  <c r="E135" i="3"/>
  <c r="D218" i="3"/>
  <c r="U144" i="3"/>
  <c r="E210" i="3"/>
  <c r="Q110" i="3"/>
  <c r="H92" i="3"/>
  <c r="N191" i="3"/>
  <c r="E42" i="3"/>
  <c r="P28" i="3"/>
  <c r="S86" i="3"/>
  <c r="C45" i="3"/>
  <c r="F171" i="3"/>
  <c r="F213" i="3"/>
  <c r="U202" i="3"/>
  <c r="O132" i="3"/>
  <c r="R132" i="3"/>
  <c r="C132" i="3"/>
  <c r="F132" i="3"/>
  <c r="R196" i="3"/>
  <c r="N10" i="3"/>
  <c r="N87" i="3"/>
  <c r="O85" i="3"/>
  <c r="O79" i="3"/>
  <c r="P93" i="3"/>
  <c r="S93" i="3"/>
  <c r="S154" i="3"/>
  <c r="D154" i="3"/>
  <c r="V154" i="3"/>
  <c r="T16" i="3"/>
  <c r="I202" i="3"/>
  <c r="E83" i="3"/>
  <c r="F196" i="3"/>
  <c r="J204" i="3"/>
  <c r="J93" i="3"/>
  <c r="O135" i="3"/>
  <c r="H10" i="3"/>
  <c r="T118" i="3"/>
  <c r="K87" i="3"/>
  <c r="T219" i="3"/>
  <c r="U85" i="3"/>
  <c r="D5" i="3"/>
  <c r="L79" i="3"/>
  <c r="E168" i="3"/>
  <c r="W30" i="3"/>
  <c r="R202" i="3"/>
  <c r="K83" i="3"/>
  <c r="I176" i="3"/>
  <c r="M93" i="3"/>
  <c r="L135" i="3"/>
  <c r="W10" i="3"/>
  <c r="S51" i="3"/>
  <c r="K118" i="3"/>
  <c r="E161" i="3"/>
  <c r="W87" i="3"/>
  <c r="C51" i="3"/>
  <c r="F115" i="3"/>
  <c r="U79" i="3"/>
  <c r="Q162" i="3"/>
  <c r="W162" i="3"/>
  <c r="N30" i="3"/>
  <c r="C202" i="3"/>
  <c r="Q154" i="3"/>
  <c r="R135" i="3"/>
  <c r="W161" i="3"/>
  <c r="L219" i="3"/>
  <c r="P101" i="3"/>
  <c r="D101" i="3"/>
  <c r="G101" i="3"/>
  <c r="J101" i="3"/>
  <c r="V101" i="3"/>
  <c r="S101" i="3"/>
  <c r="M101" i="3"/>
  <c r="F138" i="3"/>
  <c r="R138" i="3"/>
  <c r="U138" i="3"/>
  <c r="L138" i="3"/>
  <c r="C138" i="3"/>
  <c r="O138" i="3"/>
  <c r="I138" i="3"/>
  <c r="T169" i="3"/>
  <c r="W169" i="3"/>
  <c r="H169" i="3"/>
  <c r="Q169" i="3"/>
  <c r="E169" i="3"/>
  <c r="K169" i="3"/>
  <c r="N169" i="3"/>
  <c r="J155" i="3"/>
  <c r="S155" i="3"/>
  <c r="V155" i="3"/>
  <c r="M155" i="3"/>
  <c r="D155" i="3"/>
  <c r="P155" i="3"/>
  <c r="G155" i="3"/>
  <c r="R63" i="3"/>
  <c r="I63" i="3"/>
  <c r="O63" i="3"/>
  <c r="L63" i="3"/>
  <c r="U63" i="3"/>
  <c r="C63" i="3"/>
  <c r="F63" i="3"/>
  <c r="P99" i="3"/>
  <c r="V99" i="3"/>
  <c r="S99" i="3"/>
  <c r="D99" i="3"/>
  <c r="G99" i="3"/>
  <c r="J99" i="3"/>
  <c r="M99" i="3"/>
  <c r="P149" i="3"/>
  <c r="G149" i="3"/>
  <c r="M149" i="3"/>
  <c r="D149" i="3"/>
  <c r="S149" i="3"/>
  <c r="J149" i="3"/>
  <c r="V149" i="3"/>
  <c r="F181" i="3"/>
  <c r="C181" i="3"/>
  <c r="U181" i="3"/>
  <c r="I181" i="3"/>
  <c r="L181" i="3"/>
  <c r="O181" i="3"/>
  <c r="R181" i="3"/>
  <c r="Q13" i="3"/>
  <c r="T13" i="3"/>
  <c r="H13" i="3"/>
  <c r="W13" i="3"/>
  <c r="K13" i="3"/>
  <c r="N13" i="3"/>
  <c r="E13" i="3"/>
  <c r="F194" i="3"/>
  <c r="O194" i="3"/>
  <c r="C194" i="3"/>
  <c r="I194" i="3"/>
  <c r="L194" i="3"/>
  <c r="R194" i="3"/>
  <c r="U194" i="3"/>
  <c r="N124" i="3"/>
  <c r="K124" i="3"/>
  <c r="Q124" i="3"/>
  <c r="W124" i="3"/>
  <c r="H124" i="3"/>
  <c r="T124" i="3"/>
  <c r="E124" i="3"/>
  <c r="Q99" i="3"/>
  <c r="T99" i="3"/>
  <c r="W99" i="3"/>
  <c r="E99" i="3"/>
  <c r="H99" i="3"/>
  <c r="K99" i="3"/>
  <c r="N99" i="3"/>
  <c r="L158" i="3"/>
  <c r="O158" i="3"/>
  <c r="I158" i="3"/>
  <c r="U158" i="3"/>
  <c r="R158" i="3"/>
  <c r="C158" i="3"/>
  <c r="F158" i="3"/>
  <c r="T199" i="3"/>
  <c r="E199" i="3"/>
  <c r="H199" i="3"/>
  <c r="Q199" i="3"/>
  <c r="K199" i="3"/>
  <c r="N199" i="3"/>
  <c r="W199" i="3"/>
  <c r="M147" i="3"/>
  <c r="P147" i="3"/>
  <c r="G147" i="3"/>
  <c r="D147" i="3"/>
  <c r="S147" i="3"/>
  <c r="J147" i="3"/>
  <c r="V147" i="3"/>
  <c r="J201" i="3"/>
  <c r="V201" i="3"/>
  <c r="D201" i="3"/>
  <c r="M201" i="3"/>
  <c r="G201" i="3"/>
  <c r="P201" i="3"/>
  <c r="S201" i="3"/>
  <c r="F131" i="3"/>
  <c r="I131" i="3"/>
  <c r="U131" i="3"/>
  <c r="O131" i="3"/>
  <c r="C131" i="3"/>
  <c r="L131" i="3"/>
  <c r="R131" i="3"/>
  <c r="V46" i="3"/>
  <c r="M46" i="3"/>
  <c r="P46" i="3"/>
  <c r="S46" i="3"/>
  <c r="D46" i="3"/>
  <c r="J46" i="3"/>
  <c r="G46" i="3"/>
  <c r="K220" i="3"/>
  <c r="H220" i="3"/>
  <c r="W220" i="3"/>
  <c r="T220" i="3"/>
  <c r="N220" i="3"/>
  <c r="E220" i="3"/>
  <c r="Q220" i="3"/>
  <c r="Q190" i="3"/>
  <c r="T190" i="3"/>
  <c r="W190" i="3"/>
  <c r="K190" i="3"/>
  <c r="H190" i="3"/>
  <c r="E190" i="3"/>
  <c r="N190" i="3"/>
  <c r="U59" i="3"/>
  <c r="F59" i="3"/>
  <c r="O59" i="3"/>
  <c r="R59" i="3"/>
  <c r="C59" i="3"/>
  <c r="L59" i="3"/>
  <c r="I59" i="3"/>
  <c r="M172" i="3"/>
  <c r="P172" i="3"/>
  <c r="J172" i="3"/>
  <c r="S172" i="3"/>
  <c r="V172" i="3"/>
  <c r="G172" i="3"/>
  <c r="D172" i="3"/>
  <c r="P71" i="3"/>
  <c r="G71" i="3"/>
  <c r="V71" i="3"/>
  <c r="M71" i="3"/>
  <c r="J71" i="3"/>
  <c r="S71" i="3"/>
  <c r="D71" i="3"/>
  <c r="T155" i="3"/>
  <c r="K155" i="3"/>
  <c r="W155" i="3"/>
  <c r="N155" i="3"/>
  <c r="Q155" i="3"/>
  <c r="H155" i="3"/>
  <c r="E155" i="3"/>
  <c r="F29" i="3"/>
  <c r="U29" i="3"/>
  <c r="L29" i="3"/>
  <c r="O29" i="3"/>
  <c r="I29" i="3"/>
  <c r="C29" i="3"/>
  <c r="R29" i="3"/>
  <c r="T24" i="3"/>
  <c r="N24" i="3"/>
  <c r="K24" i="3"/>
  <c r="W24" i="3"/>
  <c r="Q24" i="3"/>
  <c r="H24" i="3"/>
  <c r="E24" i="3"/>
  <c r="G167" i="3"/>
  <c r="J167" i="3"/>
  <c r="M167" i="3"/>
  <c r="D167" i="3"/>
  <c r="P167" i="3"/>
  <c r="S167" i="3"/>
  <c r="V167" i="3"/>
  <c r="M13" i="3"/>
  <c r="G13" i="3"/>
  <c r="V13" i="3"/>
  <c r="P13" i="3"/>
  <c r="S13" i="3"/>
  <c r="D13" i="3"/>
  <c r="J13" i="3"/>
  <c r="N180" i="3"/>
  <c r="T180" i="3"/>
  <c r="Q180" i="3"/>
  <c r="E180" i="3"/>
  <c r="K180" i="3"/>
  <c r="W180" i="3"/>
  <c r="H180" i="3"/>
  <c r="R124" i="3"/>
  <c r="F124" i="3"/>
  <c r="I124" i="3"/>
  <c r="L124" i="3"/>
  <c r="O124" i="3"/>
  <c r="U124" i="3"/>
  <c r="C124" i="3"/>
  <c r="F217" i="3"/>
  <c r="U217" i="3"/>
  <c r="I217" i="3"/>
  <c r="L217" i="3"/>
  <c r="C217" i="3"/>
  <c r="O217" i="3"/>
  <c r="R217" i="3"/>
  <c r="T143" i="3"/>
  <c r="E143" i="3"/>
  <c r="N143" i="3"/>
  <c r="Q143" i="3"/>
  <c r="K143" i="3"/>
  <c r="H143" i="3"/>
  <c r="W143" i="3"/>
  <c r="U77" i="3"/>
  <c r="L77" i="3"/>
  <c r="O77" i="3"/>
  <c r="R77" i="3"/>
  <c r="I77" i="3"/>
  <c r="F77" i="3"/>
  <c r="C77" i="3"/>
  <c r="F161" i="3"/>
  <c r="U161" i="3"/>
  <c r="I161" i="3"/>
  <c r="L161" i="3"/>
  <c r="O161" i="3"/>
  <c r="R161" i="3"/>
  <c r="C161" i="3"/>
  <c r="T133" i="3"/>
  <c r="Q133" i="3"/>
  <c r="W133" i="3"/>
  <c r="H133" i="3"/>
  <c r="E133" i="3"/>
  <c r="K133" i="3"/>
  <c r="N133" i="3"/>
  <c r="I49" i="3"/>
  <c r="L49" i="3"/>
  <c r="U49" i="3"/>
  <c r="F49" i="3"/>
  <c r="O49" i="3"/>
  <c r="R49" i="3"/>
  <c r="C49" i="3"/>
  <c r="T187" i="3"/>
  <c r="Q187" i="3"/>
  <c r="E187" i="3"/>
  <c r="H187" i="3"/>
  <c r="W187" i="3"/>
  <c r="K187" i="3"/>
  <c r="N187" i="3"/>
  <c r="J131" i="3"/>
  <c r="V131" i="3"/>
  <c r="P131" i="3"/>
  <c r="S131" i="3"/>
  <c r="M131" i="3"/>
  <c r="G131" i="3"/>
  <c r="D131" i="3"/>
  <c r="T183" i="3"/>
  <c r="K183" i="3"/>
  <c r="W183" i="3"/>
  <c r="E183" i="3"/>
  <c r="H183" i="3"/>
  <c r="N183" i="3"/>
  <c r="Q183" i="3"/>
  <c r="F46" i="3"/>
  <c r="R46" i="3"/>
  <c r="I46" i="3"/>
  <c r="C46" i="3"/>
  <c r="L46" i="3"/>
  <c r="O46" i="3"/>
  <c r="U46" i="3"/>
  <c r="N23" i="3"/>
  <c r="Q23" i="3"/>
  <c r="T23" i="3"/>
  <c r="K23" i="3"/>
  <c r="H23" i="3"/>
  <c r="W23" i="3"/>
  <c r="E23" i="3"/>
  <c r="T50" i="3"/>
  <c r="E50" i="3"/>
  <c r="Q50" i="3"/>
  <c r="H50" i="3"/>
  <c r="W50" i="3"/>
  <c r="K50" i="3"/>
  <c r="N50" i="3"/>
  <c r="V115" i="3"/>
  <c r="G115" i="3"/>
  <c r="D115" i="3"/>
  <c r="M115" i="3"/>
  <c r="S115" i="3"/>
  <c r="J115" i="3"/>
  <c r="P115" i="3"/>
  <c r="N226" i="3"/>
  <c r="H226" i="3"/>
  <c r="Q226" i="3"/>
  <c r="K226" i="3"/>
  <c r="T226" i="3"/>
  <c r="E226" i="3"/>
  <c r="W226" i="3"/>
  <c r="J114" i="3"/>
  <c r="S114" i="3"/>
  <c r="G114" i="3"/>
  <c r="V114" i="3"/>
  <c r="D114" i="3"/>
  <c r="P114" i="3"/>
  <c r="M114" i="3"/>
  <c r="N29" i="3"/>
  <c r="H29" i="3"/>
  <c r="T29" i="3"/>
  <c r="Q29" i="3"/>
  <c r="K29" i="3"/>
  <c r="E29" i="3"/>
  <c r="W29" i="3"/>
  <c r="Q97" i="3"/>
  <c r="H97" i="3"/>
  <c r="W97" i="3"/>
  <c r="T97" i="3"/>
  <c r="K97" i="3"/>
  <c r="N97" i="3"/>
  <c r="E97" i="3"/>
  <c r="U214" i="3"/>
  <c r="F214" i="3"/>
  <c r="O214" i="3"/>
  <c r="L214" i="3"/>
  <c r="R214" i="3"/>
  <c r="I214" i="3"/>
  <c r="C214" i="3"/>
  <c r="H55" i="3"/>
  <c r="K55" i="3"/>
  <c r="Q55" i="3"/>
  <c r="W55" i="3"/>
  <c r="E55" i="3"/>
  <c r="N55" i="3"/>
  <c r="T55" i="3"/>
  <c r="M214" i="3"/>
  <c r="P214" i="3"/>
  <c r="D214" i="3"/>
  <c r="V214" i="3"/>
  <c r="S214" i="3"/>
  <c r="J214" i="3"/>
  <c r="G214" i="3"/>
  <c r="D111" i="3"/>
  <c r="P111" i="3"/>
  <c r="M111" i="3"/>
  <c r="V111" i="3"/>
  <c r="S111" i="3"/>
  <c r="J111" i="3"/>
  <c r="G111" i="3"/>
  <c r="N74" i="3"/>
  <c r="E74" i="3"/>
  <c r="H74" i="3"/>
  <c r="T74" i="3"/>
  <c r="K74" i="3"/>
  <c r="Q74" i="3"/>
  <c r="W74" i="3"/>
  <c r="M208" i="3"/>
  <c r="S208" i="3"/>
  <c r="P208" i="3"/>
  <c r="D208" i="3"/>
  <c r="J208" i="3"/>
  <c r="G208" i="3"/>
  <c r="V208" i="3"/>
  <c r="W138" i="3"/>
  <c r="T138" i="3"/>
  <c r="Q138" i="3"/>
  <c r="E138" i="3"/>
  <c r="N138" i="3"/>
  <c r="H138" i="3"/>
  <c r="K138" i="3"/>
  <c r="H82" i="3"/>
  <c r="W82" i="3"/>
  <c r="K82" i="3"/>
  <c r="N82" i="3"/>
  <c r="Q82" i="3"/>
  <c r="T82" i="3"/>
  <c r="E82" i="3"/>
  <c r="U66" i="3"/>
  <c r="L66" i="3"/>
  <c r="R66" i="3"/>
  <c r="F66" i="3"/>
  <c r="C66" i="3"/>
  <c r="O66" i="3"/>
  <c r="I66" i="3"/>
  <c r="F203" i="3"/>
  <c r="I203" i="3"/>
  <c r="O203" i="3"/>
  <c r="L203" i="3"/>
  <c r="C203" i="3"/>
  <c r="R203" i="3"/>
  <c r="U203" i="3"/>
  <c r="O61" i="3"/>
  <c r="I61" i="3"/>
  <c r="F61" i="3"/>
  <c r="L61" i="3"/>
  <c r="U61" i="3"/>
  <c r="R61" i="3"/>
  <c r="C61" i="3"/>
  <c r="P215" i="3"/>
  <c r="V215" i="3"/>
  <c r="G215" i="3"/>
  <c r="S215" i="3"/>
  <c r="D215" i="3"/>
  <c r="J215" i="3"/>
  <c r="M215" i="3"/>
  <c r="J145" i="3"/>
  <c r="V145" i="3"/>
  <c r="M145" i="3"/>
  <c r="P145" i="3"/>
  <c r="S145" i="3"/>
  <c r="G145" i="3"/>
  <c r="D145" i="3"/>
  <c r="P26" i="3"/>
  <c r="G26" i="3"/>
  <c r="D26" i="3"/>
  <c r="M26" i="3"/>
  <c r="V26" i="3"/>
  <c r="S26" i="3"/>
  <c r="J26" i="3"/>
  <c r="M57" i="3"/>
  <c r="J57" i="3"/>
  <c r="V57" i="3"/>
  <c r="G57" i="3"/>
  <c r="P57" i="3"/>
  <c r="S57" i="3"/>
  <c r="D57" i="3"/>
  <c r="U74" i="3"/>
  <c r="C74" i="3"/>
  <c r="O74" i="3"/>
  <c r="I74" i="3"/>
  <c r="L74" i="3"/>
  <c r="R74" i="3"/>
  <c r="F74" i="3"/>
  <c r="F9" i="3"/>
  <c r="U9" i="3"/>
  <c r="C9" i="3"/>
  <c r="L9" i="3"/>
  <c r="O9" i="3"/>
  <c r="I9" i="3"/>
  <c r="R9" i="3"/>
  <c r="T36" i="3"/>
  <c r="Q36" i="3"/>
  <c r="H36" i="3"/>
  <c r="E36" i="3"/>
  <c r="N36" i="3"/>
  <c r="W36" i="3"/>
  <c r="K36" i="3"/>
  <c r="O212" i="3"/>
  <c r="F212" i="3"/>
  <c r="I212" i="3"/>
  <c r="U212" i="3"/>
  <c r="L212" i="3"/>
  <c r="R212" i="3"/>
  <c r="C212" i="3"/>
  <c r="Q114" i="3"/>
  <c r="W114" i="3"/>
  <c r="H114" i="3"/>
  <c r="N114" i="3"/>
  <c r="E114" i="3"/>
  <c r="K114" i="3"/>
  <c r="T114" i="3"/>
  <c r="J38" i="3"/>
  <c r="M38" i="3"/>
  <c r="S38" i="3"/>
  <c r="G38" i="3"/>
  <c r="D38" i="3"/>
  <c r="V38" i="3"/>
  <c r="P38" i="3"/>
  <c r="F15" i="3"/>
  <c r="U15" i="3"/>
  <c r="L15" i="3"/>
  <c r="R15" i="3"/>
  <c r="O15" i="3"/>
  <c r="C15" i="3"/>
  <c r="I15" i="3"/>
  <c r="C107" i="3"/>
  <c r="R107" i="3"/>
  <c r="U107" i="3"/>
  <c r="L107" i="3"/>
  <c r="I107" i="3"/>
  <c r="F107" i="3"/>
  <c r="O107" i="3"/>
  <c r="T223" i="3"/>
  <c r="K223" i="3"/>
  <c r="H223" i="3"/>
  <c r="N223" i="3"/>
  <c r="Q223" i="3"/>
  <c r="W223" i="3"/>
  <c r="E223" i="3"/>
  <c r="F111" i="3"/>
  <c r="U111" i="3"/>
  <c r="C111" i="3"/>
  <c r="I111" i="3"/>
  <c r="O111" i="3"/>
  <c r="L111" i="3"/>
  <c r="R111" i="3"/>
  <c r="R208" i="3"/>
  <c r="O208" i="3"/>
  <c r="I208" i="3"/>
  <c r="F208" i="3"/>
  <c r="L208" i="3"/>
  <c r="U208" i="3"/>
  <c r="C208" i="3"/>
  <c r="M138" i="3"/>
  <c r="J138" i="3"/>
  <c r="S138" i="3"/>
  <c r="D138" i="3"/>
  <c r="P138" i="3"/>
  <c r="V138" i="3"/>
  <c r="G138" i="3"/>
  <c r="J82" i="3"/>
  <c r="V82" i="3"/>
  <c r="G82" i="3"/>
  <c r="P82" i="3"/>
  <c r="D82" i="3"/>
  <c r="M82" i="3"/>
  <c r="S82" i="3"/>
  <c r="J75" i="3"/>
  <c r="P75" i="3"/>
  <c r="M75" i="3"/>
  <c r="D75" i="3"/>
  <c r="G75" i="3"/>
  <c r="V75" i="3"/>
  <c r="S75" i="3"/>
  <c r="T66" i="3"/>
  <c r="K66" i="3"/>
  <c r="W66" i="3"/>
  <c r="H66" i="3"/>
  <c r="Q66" i="3"/>
  <c r="N66" i="3"/>
  <c r="E66" i="3"/>
  <c r="M203" i="3"/>
  <c r="V203" i="3"/>
  <c r="S203" i="3"/>
  <c r="J203" i="3"/>
  <c r="D203" i="3"/>
  <c r="P203" i="3"/>
  <c r="G203" i="3"/>
  <c r="F215" i="3"/>
  <c r="L215" i="3"/>
  <c r="C215" i="3"/>
  <c r="I215" i="3"/>
  <c r="O215" i="3"/>
  <c r="R215" i="3"/>
  <c r="U215" i="3"/>
  <c r="F145" i="3"/>
  <c r="I145" i="3"/>
  <c r="O145" i="3"/>
  <c r="R145" i="3"/>
  <c r="C145" i="3"/>
  <c r="L145" i="3"/>
  <c r="U145" i="3"/>
  <c r="O89" i="3"/>
  <c r="U89" i="3"/>
  <c r="F89" i="3"/>
  <c r="R89" i="3"/>
  <c r="C89" i="3"/>
  <c r="I89" i="3"/>
  <c r="L89" i="3"/>
  <c r="L35" i="3"/>
  <c r="F35" i="3"/>
  <c r="I35" i="3"/>
  <c r="U35" i="3"/>
  <c r="R35" i="3"/>
  <c r="C35" i="3"/>
  <c r="O35" i="3"/>
  <c r="J74" i="3"/>
  <c r="M74" i="3"/>
  <c r="P74" i="3"/>
  <c r="G74" i="3"/>
  <c r="V74" i="3"/>
  <c r="D74" i="3"/>
  <c r="S74" i="3"/>
  <c r="T8" i="3"/>
  <c r="Q8" i="3"/>
  <c r="K8" i="3"/>
  <c r="W8" i="3"/>
  <c r="N8" i="3"/>
  <c r="H8" i="3"/>
  <c r="E8" i="3"/>
  <c r="L87" i="3"/>
  <c r="R87" i="3"/>
  <c r="U87" i="3"/>
  <c r="F87" i="3"/>
  <c r="O87" i="3"/>
  <c r="C87" i="3"/>
  <c r="I87" i="3"/>
  <c r="T212" i="3"/>
  <c r="E212" i="3"/>
  <c r="W212" i="3"/>
  <c r="K212" i="3"/>
  <c r="N212" i="3"/>
  <c r="Q212" i="3"/>
  <c r="H212" i="3"/>
  <c r="J100" i="3"/>
  <c r="S100" i="3"/>
  <c r="G100" i="3"/>
  <c r="D100" i="3"/>
  <c r="P100" i="3"/>
  <c r="V100" i="3"/>
  <c r="M100" i="3"/>
  <c r="T46" i="3"/>
  <c r="N46" i="3"/>
  <c r="K46" i="3"/>
  <c r="Q46" i="3"/>
  <c r="W46" i="3"/>
  <c r="E46" i="3"/>
  <c r="H46" i="3"/>
  <c r="M23" i="3"/>
  <c r="S23" i="3"/>
  <c r="G23" i="3"/>
  <c r="V23" i="3"/>
  <c r="J23" i="3"/>
  <c r="P23" i="3"/>
  <c r="D23" i="3"/>
  <c r="I113" i="3"/>
  <c r="U113" i="3"/>
  <c r="O113" i="3"/>
  <c r="R113" i="3"/>
  <c r="F113" i="3"/>
  <c r="L113" i="3"/>
  <c r="C113" i="3"/>
  <c r="H194" i="3"/>
  <c r="W194" i="3"/>
  <c r="K194" i="3"/>
  <c r="N194" i="3"/>
  <c r="Q194" i="3"/>
  <c r="E194" i="3"/>
  <c r="T194" i="3"/>
  <c r="U82" i="3"/>
  <c r="L82" i="3"/>
  <c r="F82" i="3"/>
  <c r="I82" i="3"/>
  <c r="O82" i="3"/>
  <c r="C82" i="3"/>
  <c r="R82" i="3"/>
  <c r="Q117" i="3"/>
  <c r="H117" i="3"/>
  <c r="T117" i="3"/>
  <c r="W117" i="3"/>
  <c r="N117" i="3"/>
  <c r="K117" i="3"/>
  <c r="E117" i="3"/>
  <c r="T52" i="3"/>
  <c r="H52" i="3"/>
  <c r="K52" i="3"/>
  <c r="Q52" i="3"/>
  <c r="W52" i="3"/>
  <c r="N52" i="3"/>
  <c r="E52" i="3"/>
  <c r="H35" i="3"/>
  <c r="W35" i="3"/>
  <c r="Q35" i="3"/>
  <c r="K35" i="3"/>
  <c r="E35" i="3"/>
  <c r="N35" i="3"/>
  <c r="T35" i="3"/>
  <c r="T201" i="3"/>
  <c r="N201" i="3"/>
  <c r="H201" i="3"/>
  <c r="K201" i="3"/>
  <c r="E201" i="3"/>
  <c r="Q201" i="3"/>
  <c r="W201" i="3"/>
  <c r="T145" i="3"/>
  <c r="W145" i="3"/>
  <c r="N145" i="3"/>
  <c r="Q145" i="3"/>
  <c r="E145" i="3"/>
  <c r="K145" i="3"/>
  <c r="H145" i="3"/>
  <c r="S89" i="3"/>
  <c r="V89" i="3"/>
  <c r="P89" i="3"/>
  <c r="G89" i="3"/>
  <c r="M89" i="3"/>
  <c r="D89" i="3"/>
  <c r="J89" i="3"/>
  <c r="U60" i="3"/>
  <c r="F60" i="3"/>
  <c r="C60" i="3"/>
  <c r="I60" i="3"/>
  <c r="R60" i="3"/>
  <c r="L60" i="3"/>
  <c r="O60" i="3"/>
  <c r="Q104" i="3"/>
  <c r="H104" i="3"/>
  <c r="K104" i="3"/>
  <c r="T104" i="3"/>
  <c r="W104" i="3"/>
  <c r="N104" i="3"/>
  <c r="E104" i="3"/>
  <c r="V8" i="3"/>
  <c r="G8" i="3"/>
  <c r="D8" i="3"/>
  <c r="P8" i="3"/>
  <c r="S8" i="3"/>
  <c r="J8" i="3"/>
  <c r="M8" i="3"/>
  <c r="Q73" i="3"/>
  <c r="T73" i="3"/>
  <c r="W73" i="3"/>
  <c r="H73" i="3"/>
  <c r="N73" i="3"/>
  <c r="K73" i="3"/>
  <c r="E73" i="3"/>
  <c r="U100" i="3"/>
  <c r="O100" i="3"/>
  <c r="R100" i="3"/>
  <c r="F100" i="3"/>
  <c r="L100" i="3"/>
  <c r="I100" i="3"/>
  <c r="C100" i="3"/>
  <c r="F225" i="3"/>
  <c r="R225" i="3"/>
  <c r="L225" i="3"/>
  <c r="C225" i="3"/>
  <c r="I225" i="3"/>
  <c r="O225" i="3"/>
  <c r="U225" i="3"/>
  <c r="T54" i="3"/>
  <c r="K54" i="3"/>
  <c r="H54" i="3"/>
  <c r="W54" i="3"/>
  <c r="Q54" i="3"/>
  <c r="E54" i="3"/>
  <c r="N54" i="3"/>
  <c r="M130" i="3"/>
  <c r="P130" i="3"/>
  <c r="V130" i="3"/>
  <c r="G130" i="3"/>
  <c r="D130" i="3"/>
  <c r="J130" i="3"/>
  <c r="S130" i="3"/>
  <c r="J141" i="3"/>
  <c r="P141" i="3"/>
  <c r="S141" i="3"/>
  <c r="G141" i="3"/>
  <c r="M141" i="3"/>
  <c r="V141" i="3"/>
  <c r="D141" i="3"/>
  <c r="P181" i="3"/>
  <c r="J181" i="3"/>
  <c r="S181" i="3"/>
  <c r="V181" i="3"/>
  <c r="D181" i="3"/>
  <c r="G181" i="3"/>
  <c r="M181" i="3"/>
  <c r="T141" i="3"/>
  <c r="W141" i="3"/>
  <c r="Q141" i="3"/>
  <c r="N141" i="3"/>
  <c r="H141" i="3"/>
  <c r="K141" i="3"/>
  <c r="E141" i="3"/>
  <c r="M194" i="3"/>
  <c r="S194" i="3"/>
  <c r="P194" i="3"/>
  <c r="J194" i="3"/>
  <c r="V194" i="3"/>
  <c r="D194" i="3"/>
  <c r="G194" i="3"/>
  <c r="M124" i="3"/>
  <c r="V124" i="3"/>
  <c r="G124" i="3"/>
  <c r="J124" i="3"/>
  <c r="P124" i="3"/>
  <c r="S124" i="3"/>
  <c r="D124" i="3"/>
  <c r="F133" i="3"/>
  <c r="U133" i="3"/>
  <c r="C133" i="3"/>
  <c r="L133" i="3"/>
  <c r="I133" i="3"/>
  <c r="O133" i="3"/>
  <c r="R133" i="3"/>
  <c r="M52" i="3"/>
  <c r="J52" i="3"/>
  <c r="S52" i="3"/>
  <c r="V52" i="3"/>
  <c r="P52" i="3"/>
  <c r="D52" i="3"/>
  <c r="G52" i="3"/>
  <c r="T147" i="3"/>
  <c r="N147" i="3"/>
  <c r="Q147" i="3"/>
  <c r="W147" i="3"/>
  <c r="K147" i="3"/>
  <c r="H147" i="3"/>
  <c r="E147" i="3"/>
  <c r="F201" i="3"/>
  <c r="R201" i="3"/>
  <c r="I201" i="3"/>
  <c r="L201" i="3"/>
  <c r="O201" i="3"/>
  <c r="C201" i="3"/>
  <c r="U201" i="3"/>
  <c r="T131" i="3"/>
  <c r="Q131" i="3"/>
  <c r="K131" i="3"/>
  <c r="W131" i="3"/>
  <c r="N131" i="3"/>
  <c r="H131" i="3"/>
  <c r="E131" i="3"/>
  <c r="J60" i="3"/>
  <c r="P60" i="3"/>
  <c r="G60" i="3"/>
  <c r="V60" i="3"/>
  <c r="S60" i="3"/>
  <c r="D60" i="3"/>
  <c r="M60" i="3"/>
  <c r="F163" i="3"/>
  <c r="I163" i="3"/>
  <c r="U163" i="3"/>
  <c r="R163" i="3"/>
  <c r="L163" i="3"/>
  <c r="O163" i="3"/>
  <c r="C163" i="3"/>
  <c r="S163" i="3"/>
  <c r="M163" i="3"/>
  <c r="P163" i="3"/>
  <c r="J163" i="3"/>
  <c r="V163" i="3"/>
  <c r="D163" i="3"/>
  <c r="G163" i="3"/>
  <c r="Q59" i="3"/>
  <c r="K59" i="3"/>
  <c r="W59" i="3"/>
  <c r="N59" i="3"/>
  <c r="T59" i="3"/>
  <c r="E59" i="3"/>
  <c r="H59" i="3"/>
  <c r="K100" i="3"/>
  <c r="W100" i="3"/>
  <c r="T100" i="3"/>
  <c r="E100" i="3"/>
  <c r="Q100" i="3"/>
  <c r="H100" i="3"/>
  <c r="N100" i="3"/>
  <c r="P139" i="3"/>
  <c r="S139" i="3"/>
  <c r="G139" i="3"/>
  <c r="J139" i="3"/>
  <c r="M139" i="3"/>
  <c r="D139" i="3"/>
  <c r="V139" i="3"/>
  <c r="R220" i="3"/>
  <c r="I220" i="3"/>
  <c r="L220" i="3"/>
  <c r="F220" i="3"/>
  <c r="U220" i="3"/>
  <c r="C220" i="3"/>
  <c r="O220" i="3"/>
  <c r="O190" i="3"/>
  <c r="F190" i="3"/>
  <c r="L190" i="3"/>
  <c r="U190" i="3"/>
  <c r="I190" i="3"/>
  <c r="C190" i="3"/>
  <c r="R190" i="3"/>
  <c r="G227" i="3"/>
  <c r="V227" i="3"/>
  <c r="M227" i="3"/>
  <c r="P227" i="3"/>
  <c r="D227" i="3"/>
  <c r="J227" i="3"/>
  <c r="S227" i="3"/>
  <c r="M59" i="3"/>
  <c r="D59" i="3"/>
  <c r="J59" i="3"/>
  <c r="V59" i="3"/>
  <c r="G59" i="3"/>
  <c r="P59" i="3"/>
  <c r="S59" i="3"/>
  <c r="M14" i="3"/>
  <c r="P14" i="3"/>
  <c r="S14" i="3"/>
  <c r="G14" i="3"/>
  <c r="J14" i="3"/>
  <c r="V14" i="3"/>
  <c r="D14" i="3"/>
  <c r="M97" i="3"/>
  <c r="D97" i="3"/>
  <c r="S97" i="3"/>
  <c r="V97" i="3"/>
  <c r="G97" i="3"/>
  <c r="J97" i="3"/>
  <c r="P97" i="3"/>
  <c r="M164" i="3"/>
  <c r="P164" i="3"/>
  <c r="S164" i="3"/>
  <c r="D164" i="3"/>
  <c r="G164" i="3"/>
  <c r="J164" i="3"/>
  <c r="V164" i="3"/>
  <c r="T189" i="3"/>
  <c r="K189" i="3"/>
  <c r="E189" i="3"/>
  <c r="W189" i="3"/>
  <c r="N189" i="3"/>
  <c r="Q189" i="3"/>
  <c r="H189" i="3"/>
  <c r="S223" i="3"/>
  <c r="J223" i="3"/>
  <c r="M223" i="3"/>
  <c r="G223" i="3"/>
  <c r="P223" i="3"/>
  <c r="D223" i="3"/>
  <c r="V223" i="3"/>
  <c r="F167" i="3"/>
  <c r="O167" i="3"/>
  <c r="R167" i="3"/>
  <c r="C167" i="3"/>
  <c r="U167" i="3"/>
  <c r="L167" i="3"/>
  <c r="I167" i="3"/>
  <c r="R13" i="3"/>
  <c r="F13" i="3"/>
  <c r="U13" i="3"/>
  <c r="O13" i="3"/>
  <c r="L13" i="3"/>
  <c r="C13" i="3"/>
  <c r="I13" i="3"/>
  <c r="M180" i="3"/>
  <c r="S180" i="3"/>
  <c r="V180" i="3"/>
  <c r="J180" i="3"/>
  <c r="P180" i="3"/>
  <c r="D180" i="3"/>
  <c r="G180" i="3"/>
  <c r="V85" i="3"/>
  <c r="G85" i="3"/>
  <c r="J85" i="3"/>
  <c r="M85" i="3"/>
  <c r="P85" i="3"/>
  <c r="S85" i="3"/>
  <c r="D85" i="3"/>
  <c r="S133" i="3"/>
  <c r="V133" i="3"/>
  <c r="G133" i="3"/>
  <c r="D133" i="3"/>
  <c r="P133" i="3"/>
  <c r="M133" i="3"/>
  <c r="J133" i="3"/>
  <c r="M49" i="3"/>
  <c r="P49" i="3"/>
  <c r="J49" i="3"/>
  <c r="D49" i="3"/>
  <c r="V49" i="3"/>
  <c r="G49" i="3"/>
  <c r="S49" i="3"/>
  <c r="Q61" i="3"/>
  <c r="K61" i="3"/>
  <c r="H61" i="3"/>
  <c r="N61" i="3"/>
  <c r="W61" i="3"/>
  <c r="E61" i="3"/>
  <c r="T61" i="3"/>
  <c r="G187" i="3"/>
  <c r="P187" i="3"/>
  <c r="J187" i="3"/>
  <c r="D187" i="3"/>
  <c r="M187" i="3"/>
  <c r="S187" i="3"/>
  <c r="V187" i="3"/>
  <c r="V117" i="3"/>
  <c r="S117" i="3"/>
  <c r="D117" i="3"/>
  <c r="G117" i="3"/>
  <c r="J117" i="3"/>
  <c r="P117" i="3"/>
  <c r="M117" i="3"/>
  <c r="J116" i="3"/>
  <c r="G116" i="3"/>
  <c r="P116" i="3"/>
  <c r="S116" i="3"/>
  <c r="V116" i="3"/>
  <c r="M116" i="3"/>
  <c r="D116" i="3"/>
  <c r="T32" i="3"/>
  <c r="K32" i="3"/>
  <c r="W32" i="3"/>
  <c r="H32" i="3"/>
  <c r="Q32" i="3"/>
  <c r="N32" i="3"/>
  <c r="E32" i="3"/>
  <c r="M174" i="3"/>
  <c r="S174" i="3"/>
  <c r="P174" i="3"/>
  <c r="D174" i="3"/>
  <c r="V174" i="3"/>
  <c r="G174" i="3"/>
  <c r="J174" i="3"/>
  <c r="K206" i="3"/>
  <c r="H206" i="3"/>
  <c r="W206" i="3"/>
  <c r="E206" i="3"/>
  <c r="Q206" i="3"/>
  <c r="N206" i="3"/>
  <c r="T206" i="3"/>
  <c r="M134" i="3"/>
  <c r="D134" i="3"/>
  <c r="S134" i="3"/>
  <c r="J134" i="3"/>
  <c r="P134" i="3"/>
  <c r="V134" i="3"/>
  <c r="G134" i="3"/>
  <c r="F227" i="3"/>
  <c r="I227" i="3"/>
  <c r="O227" i="3"/>
  <c r="C227" i="3"/>
  <c r="U227" i="3"/>
  <c r="L227" i="3"/>
  <c r="R227" i="3"/>
  <c r="M45" i="3"/>
  <c r="V45" i="3"/>
  <c r="P45" i="3"/>
  <c r="G45" i="3"/>
  <c r="J45" i="3"/>
  <c r="S45" i="3"/>
  <c r="D45" i="3"/>
  <c r="F44" i="3"/>
  <c r="O44" i="3"/>
  <c r="R44" i="3"/>
  <c r="I44" i="3"/>
  <c r="L44" i="3"/>
  <c r="C44" i="3"/>
  <c r="U44" i="3"/>
  <c r="F38" i="3"/>
  <c r="L38" i="3"/>
  <c r="R38" i="3"/>
  <c r="I38" i="3"/>
  <c r="C38" i="3"/>
  <c r="O38" i="3"/>
  <c r="U38" i="3"/>
  <c r="W172" i="3"/>
  <c r="E172" i="3"/>
  <c r="T172" i="3"/>
  <c r="H172" i="3"/>
  <c r="K172" i="3"/>
  <c r="N172" i="3"/>
  <c r="Q172" i="3"/>
  <c r="H15" i="3"/>
  <c r="W15" i="3"/>
  <c r="Q15" i="3"/>
  <c r="T15" i="3"/>
  <c r="E15" i="3"/>
  <c r="K15" i="3"/>
  <c r="N15" i="3"/>
  <c r="F223" i="3"/>
  <c r="O223" i="3"/>
  <c r="C223" i="3"/>
  <c r="U223" i="3"/>
  <c r="L223" i="3"/>
  <c r="I223" i="3"/>
  <c r="R223" i="3"/>
  <c r="T153" i="3"/>
  <c r="H153" i="3"/>
  <c r="W153" i="3"/>
  <c r="K153" i="3"/>
  <c r="Q153" i="3"/>
  <c r="E153" i="3"/>
  <c r="N153" i="3"/>
  <c r="L180" i="3"/>
  <c r="R180" i="3"/>
  <c r="U180" i="3"/>
  <c r="O180" i="3"/>
  <c r="C180" i="3"/>
  <c r="F180" i="3"/>
  <c r="I180" i="3"/>
  <c r="M33" i="3"/>
  <c r="S33" i="3"/>
  <c r="G33" i="3"/>
  <c r="P33" i="3"/>
  <c r="J33" i="3"/>
  <c r="D33" i="3"/>
  <c r="V33" i="3"/>
  <c r="V169" i="3"/>
  <c r="P169" i="3"/>
  <c r="G169" i="3"/>
  <c r="J169" i="3"/>
  <c r="S169" i="3"/>
  <c r="M169" i="3"/>
  <c r="D169" i="3"/>
  <c r="Q119" i="3"/>
  <c r="K119" i="3"/>
  <c r="N119" i="3"/>
  <c r="H119" i="3"/>
  <c r="T119" i="3"/>
  <c r="W119" i="3"/>
  <c r="E119" i="3"/>
  <c r="F187" i="3"/>
  <c r="U187" i="3"/>
  <c r="C187" i="3"/>
  <c r="I187" i="3"/>
  <c r="O187" i="3"/>
  <c r="R187" i="3"/>
  <c r="L187" i="3"/>
  <c r="O117" i="3"/>
  <c r="F117" i="3"/>
  <c r="I117" i="3"/>
  <c r="C117" i="3"/>
  <c r="U117" i="3"/>
  <c r="L117" i="3"/>
  <c r="R117" i="3"/>
  <c r="M10" i="3"/>
  <c r="G10" i="3"/>
  <c r="J10" i="3"/>
  <c r="P10" i="3"/>
  <c r="V10" i="3"/>
  <c r="D10" i="3"/>
  <c r="S10" i="3"/>
  <c r="Q101" i="3"/>
  <c r="T101" i="3"/>
  <c r="K101" i="3"/>
  <c r="N101" i="3"/>
  <c r="H101" i="3"/>
  <c r="E101" i="3"/>
  <c r="W101" i="3"/>
  <c r="U116" i="3"/>
  <c r="F116" i="3"/>
  <c r="I116" i="3"/>
  <c r="L116" i="3"/>
  <c r="R116" i="3"/>
  <c r="O116" i="3"/>
  <c r="C116" i="3"/>
  <c r="J32" i="3"/>
  <c r="V32" i="3"/>
  <c r="G32" i="3"/>
  <c r="P32" i="3"/>
  <c r="S32" i="3"/>
  <c r="D32" i="3"/>
  <c r="M32" i="3"/>
  <c r="Q174" i="3"/>
  <c r="N174" i="3"/>
  <c r="T174" i="3"/>
  <c r="H174" i="3"/>
  <c r="E174" i="3"/>
  <c r="K174" i="3"/>
  <c r="W174" i="3"/>
  <c r="Q164" i="3"/>
  <c r="T164" i="3"/>
  <c r="N164" i="3"/>
  <c r="E164" i="3"/>
  <c r="K164" i="3"/>
  <c r="H164" i="3"/>
  <c r="W164" i="3"/>
  <c r="O134" i="3"/>
  <c r="L134" i="3"/>
  <c r="R134" i="3"/>
  <c r="U134" i="3"/>
  <c r="I134" i="3"/>
  <c r="C134" i="3"/>
  <c r="F134" i="3"/>
  <c r="T213" i="3"/>
  <c r="N213" i="3"/>
  <c r="W213" i="3"/>
  <c r="E213" i="3"/>
  <c r="H213" i="3"/>
  <c r="K213" i="3"/>
  <c r="Q213" i="3"/>
  <c r="M31" i="3"/>
  <c r="D31" i="3"/>
  <c r="G31" i="3"/>
  <c r="P31" i="3"/>
  <c r="J31" i="3"/>
  <c r="S31" i="3"/>
  <c r="V31" i="3"/>
  <c r="T44" i="3"/>
  <c r="K44" i="3"/>
  <c r="W44" i="3"/>
  <c r="E44" i="3"/>
  <c r="N44" i="3"/>
  <c r="Q44" i="3"/>
  <c r="H44" i="3"/>
  <c r="U70" i="3"/>
  <c r="C70" i="3"/>
  <c r="F70" i="3"/>
  <c r="R70" i="3"/>
  <c r="O70" i="3"/>
  <c r="I70" i="3"/>
  <c r="L70" i="3"/>
  <c r="T121" i="3"/>
  <c r="W121" i="3"/>
  <c r="K121" i="3"/>
  <c r="H121" i="3"/>
  <c r="N121" i="3"/>
  <c r="Q121" i="3"/>
  <c r="E121" i="3"/>
  <c r="T181" i="3"/>
  <c r="H181" i="3"/>
  <c r="Q181" i="3"/>
  <c r="E181" i="3"/>
  <c r="W181" i="3"/>
  <c r="K181" i="3"/>
  <c r="N181" i="3"/>
  <c r="M24" i="3"/>
  <c r="P24" i="3"/>
  <c r="D24" i="3"/>
  <c r="V24" i="3"/>
  <c r="S24" i="3"/>
  <c r="G24" i="3"/>
  <c r="J24" i="3"/>
  <c r="Q140" i="3"/>
  <c r="N140" i="3"/>
  <c r="T140" i="3"/>
  <c r="H140" i="3"/>
  <c r="K140" i="3"/>
  <c r="W140" i="3"/>
  <c r="E140" i="3"/>
  <c r="M209" i="3"/>
  <c r="P209" i="3"/>
  <c r="S209" i="3"/>
  <c r="G209" i="3"/>
  <c r="D209" i="3"/>
  <c r="V209" i="3"/>
  <c r="J209" i="3"/>
  <c r="F153" i="3"/>
  <c r="C153" i="3"/>
  <c r="U153" i="3"/>
  <c r="I153" i="3"/>
  <c r="R153" i="3"/>
  <c r="O153" i="3"/>
  <c r="L153" i="3"/>
  <c r="Q91" i="3"/>
  <c r="N91" i="3"/>
  <c r="K91" i="3"/>
  <c r="T91" i="3"/>
  <c r="W91" i="3"/>
  <c r="E91" i="3"/>
  <c r="H91" i="3"/>
  <c r="N166" i="3"/>
  <c r="W166" i="3"/>
  <c r="E166" i="3"/>
  <c r="T166" i="3"/>
  <c r="H166" i="3"/>
  <c r="K166" i="3"/>
  <c r="Q166" i="3"/>
  <c r="F169" i="3"/>
  <c r="R169" i="3"/>
  <c r="I169" i="3"/>
  <c r="U169" i="3"/>
  <c r="L169" i="3"/>
  <c r="O169" i="3"/>
  <c r="C169" i="3"/>
  <c r="T175" i="3"/>
  <c r="N175" i="3"/>
  <c r="K175" i="3"/>
  <c r="H175" i="3"/>
  <c r="E175" i="3"/>
  <c r="Q175" i="3"/>
  <c r="W175" i="3"/>
  <c r="S119" i="3"/>
  <c r="G119" i="3"/>
  <c r="J119" i="3"/>
  <c r="P119" i="3"/>
  <c r="V119" i="3"/>
  <c r="D119" i="3"/>
  <c r="M119" i="3"/>
  <c r="T173" i="3"/>
  <c r="Q173" i="3"/>
  <c r="N173" i="3"/>
  <c r="H173" i="3"/>
  <c r="E173" i="3"/>
  <c r="K173" i="3"/>
  <c r="W173" i="3"/>
  <c r="L47" i="3"/>
  <c r="R47" i="3"/>
  <c r="O47" i="3"/>
  <c r="F47" i="3"/>
  <c r="C47" i="3"/>
  <c r="U47" i="3"/>
  <c r="I47" i="3"/>
  <c r="Q75" i="3"/>
  <c r="H75" i="3"/>
  <c r="W75" i="3"/>
  <c r="K75" i="3"/>
  <c r="T75" i="3"/>
  <c r="N75" i="3"/>
  <c r="E75" i="3"/>
  <c r="M200" i="3"/>
  <c r="P200" i="3"/>
  <c r="G200" i="3"/>
  <c r="V200" i="3"/>
  <c r="J200" i="3"/>
  <c r="D200" i="3"/>
  <c r="S200" i="3"/>
  <c r="W116" i="3"/>
  <c r="T116" i="3"/>
  <c r="E116" i="3"/>
  <c r="H116" i="3"/>
  <c r="Q116" i="3"/>
  <c r="N116" i="3"/>
  <c r="K116" i="3"/>
  <c r="F32" i="3"/>
  <c r="U32" i="3"/>
  <c r="C32" i="3"/>
  <c r="O32" i="3"/>
  <c r="I32" i="3"/>
  <c r="L32" i="3"/>
  <c r="R32" i="3"/>
  <c r="J104" i="3"/>
  <c r="S104" i="3"/>
  <c r="P104" i="3"/>
  <c r="G104" i="3"/>
  <c r="D104" i="3"/>
  <c r="M104" i="3"/>
  <c r="V104" i="3"/>
  <c r="T136" i="3"/>
  <c r="W136" i="3"/>
  <c r="E136" i="3"/>
  <c r="K136" i="3"/>
  <c r="H136" i="3"/>
  <c r="Q136" i="3"/>
  <c r="N136" i="3"/>
  <c r="F205" i="3"/>
  <c r="O205" i="3"/>
  <c r="L205" i="3"/>
  <c r="U205" i="3"/>
  <c r="R205" i="3"/>
  <c r="I205" i="3"/>
  <c r="C205" i="3"/>
  <c r="J120" i="3"/>
  <c r="M120" i="3"/>
  <c r="D120" i="3"/>
  <c r="G120" i="3"/>
  <c r="V120" i="3"/>
  <c r="S120" i="3"/>
  <c r="P120" i="3"/>
  <c r="Q134" i="3"/>
  <c r="K134" i="3"/>
  <c r="N134" i="3"/>
  <c r="H134" i="3"/>
  <c r="T134" i="3"/>
  <c r="E134" i="3"/>
  <c r="W134" i="3"/>
  <c r="M185" i="3"/>
  <c r="J185" i="3"/>
  <c r="P185" i="3"/>
  <c r="S185" i="3"/>
  <c r="D185" i="3"/>
  <c r="V185" i="3"/>
  <c r="G185" i="3"/>
  <c r="L31" i="3"/>
  <c r="O31" i="3"/>
  <c r="F31" i="3"/>
  <c r="U31" i="3"/>
  <c r="R31" i="3"/>
  <c r="I31" i="3"/>
  <c r="C31" i="3"/>
  <c r="L142" i="3"/>
  <c r="F142" i="3"/>
  <c r="U142" i="3"/>
  <c r="R142" i="3"/>
  <c r="I142" i="3"/>
  <c r="C142" i="3"/>
  <c r="O142" i="3"/>
  <c r="Q89" i="3"/>
  <c r="H89" i="3"/>
  <c r="T89" i="3"/>
  <c r="W89" i="3"/>
  <c r="K89" i="3"/>
  <c r="N89" i="3"/>
  <c r="E89" i="3"/>
  <c r="L130" i="3"/>
  <c r="U130" i="3"/>
  <c r="F130" i="3"/>
  <c r="R130" i="3"/>
  <c r="I130" i="3"/>
  <c r="C130" i="3"/>
  <c r="O130" i="3"/>
  <c r="F189" i="3"/>
  <c r="R189" i="3"/>
  <c r="U189" i="3"/>
  <c r="I189" i="3"/>
  <c r="L189" i="3"/>
  <c r="O189" i="3"/>
  <c r="C189" i="3"/>
  <c r="M55" i="3"/>
  <c r="J55" i="3"/>
  <c r="V55" i="3"/>
  <c r="D55" i="3"/>
  <c r="G55" i="3"/>
  <c r="P55" i="3"/>
  <c r="S55" i="3"/>
  <c r="F209" i="3"/>
  <c r="C209" i="3"/>
  <c r="O209" i="3"/>
  <c r="I209" i="3"/>
  <c r="U209" i="3"/>
  <c r="L209" i="3"/>
  <c r="R209" i="3"/>
  <c r="J108" i="3"/>
  <c r="S108" i="3"/>
  <c r="V108" i="3"/>
  <c r="D108" i="3"/>
  <c r="G108" i="3"/>
  <c r="M108" i="3"/>
  <c r="P108" i="3"/>
  <c r="M166" i="3"/>
  <c r="G166" i="3"/>
  <c r="J166" i="3"/>
  <c r="P166" i="3"/>
  <c r="S166" i="3"/>
  <c r="D166" i="3"/>
  <c r="V166" i="3"/>
  <c r="P54" i="3"/>
  <c r="S54" i="3"/>
  <c r="D54" i="3"/>
  <c r="J54" i="3"/>
  <c r="V54" i="3"/>
  <c r="G54" i="3"/>
  <c r="M54" i="3"/>
  <c r="G199" i="3"/>
  <c r="P199" i="3"/>
  <c r="S199" i="3"/>
  <c r="J199" i="3"/>
  <c r="M199" i="3"/>
  <c r="V199" i="3"/>
  <c r="D199" i="3"/>
  <c r="T197" i="3"/>
  <c r="E197" i="3"/>
  <c r="W197" i="3"/>
  <c r="H197" i="3"/>
  <c r="K197" i="3"/>
  <c r="N197" i="3"/>
  <c r="Q197" i="3"/>
  <c r="F175" i="3"/>
  <c r="L175" i="3"/>
  <c r="O175" i="3"/>
  <c r="U175" i="3"/>
  <c r="R175" i="3"/>
  <c r="I175" i="3"/>
  <c r="C175" i="3"/>
  <c r="O7" i="3"/>
  <c r="R7" i="3"/>
  <c r="F7" i="3"/>
  <c r="I7" i="3"/>
  <c r="L7" i="3"/>
  <c r="U7" i="3"/>
  <c r="C7" i="3"/>
  <c r="Q103" i="3"/>
  <c r="H103" i="3"/>
  <c r="K103" i="3"/>
  <c r="N103" i="3"/>
  <c r="T103" i="3"/>
  <c r="W103" i="3"/>
  <c r="E103" i="3"/>
  <c r="G171" i="3"/>
  <c r="J171" i="3"/>
  <c r="S171" i="3"/>
  <c r="D171" i="3"/>
  <c r="P171" i="3"/>
  <c r="M171" i="3"/>
  <c r="V171" i="3"/>
  <c r="F173" i="3"/>
  <c r="O173" i="3"/>
  <c r="R173" i="3"/>
  <c r="L173" i="3"/>
  <c r="C173" i="3"/>
  <c r="I173" i="3"/>
  <c r="U173" i="3"/>
  <c r="T47" i="3"/>
  <c r="K47" i="3"/>
  <c r="N47" i="3"/>
  <c r="H47" i="3"/>
  <c r="Q47" i="3"/>
  <c r="E47" i="3"/>
  <c r="W47" i="3"/>
  <c r="T225" i="3"/>
  <c r="Q225" i="3"/>
  <c r="K225" i="3"/>
  <c r="N225" i="3"/>
  <c r="H225" i="3"/>
  <c r="E225" i="3"/>
  <c r="W225" i="3"/>
  <c r="L200" i="3"/>
  <c r="R200" i="3"/>
  <c r="F200" i="3"/>
  <c r="I200" i="3"/>
  <c r="U200" i="3"/>
  <c r="C200" i="3"/>
  <c r="O200" i="3"/>
  <c r="N102" i="3"/>
  <c r="K102" i="3"/>
  <c r="H102" i="3"/>
  <c r="Q102" i="3"/>
  <c r="T102" i="3"/>
  <c r="W102" i="3"/>
  <c r="E102" i="3"/>
  <c r="T18" i="3"/>
  <c r="W18" i="3"/>
  <c r="N18" i="3"/>
  <c r="H18" i="3"/>
  <c r="Q18" i="3"/>
  <c r="E18" i="3"/>
  <c r="K18" i="3"/>
  <c r="F34" i="3"/>
  <c r="O34" i="3"/>
  <c r="U34" i="3"/>
  <c r="L34" i="3"/>
  <c r="R34" i="3"/>
  <c r="I34" i="3"/>
  <c r="C34" i="3"/>
  <c r="G65" i="3"/>
  <c r="V65" i="3"/>
  <c r="M65" i="3"/>
  <c r="J65" i="3"/>
  <c r="P65" i="3"/>
  <c r="S65" i="3"/>
  <c r="D65" i="3"/>
  <c r="T163" i="3"/>
  <c r="Q163" i="3"/>
  <c r="N163" i="3"/>
  <c r="H163" i="3"/>
  <c r="K163" i="3"/>
  <c r="W163" i="3"/>
  <c r="E163" i="3"/>
  <c r="N120" i="3"/>
  <c r="H120" i="3"/>
  <c r="K120" i="3"/>
  <c r="W120" i="3"/>
  <c r="E120" i="3"/>
  <c r="T120" i="3"/>
  <c r="Q120" i="3"/>
  <c r="K45" i="3"/>
  <c r="N45" i="3"/>
  <c r="H45" i="3"/>
  <c r="Q45" i="3"/>
  <c r="T45" i="3"/>
  <c r="W45" i="3"/>
  <c r="E45" i="3"/>
  <c r="F185" i="3"/>
  <c r="L185" i="3"/>
  <c r="I185" i="3"/>
  <c r="O185" i="3"/>
  <c r="U185" i="3"/>
  <c r="C185" i="3"/>
  <c r="R185" i="3"/>
  <c r="M3" i="3"/>
  <c r="P3" i="3"/>
  <c r="G3" i="3"/>
  <c r="D3" i="3"/>
  <c r="V3" i="3"/>
  <c r="S3" i="3"/>
  <c r="J3" i="3"/>
  <c r="Q142" i="3"/>
  <c r="W142" i="3"/>
  <c r="H142" i="3"/>
  <c r="K142" i="3"/>
  <c r="E142" i="3"/>
  <c r="T142" i="3"/>
  <c r="N142" i="3"/>
  <c r="Q105" i="3"/>
  <c r="K105" i="3"/>
  <c r="W105" i="3"/>
  <c r="E105" i="3"/>
  <c r="H105" i="3"/>
  <c r="T105" i="3"/>
  <c r="N105" i="3"/>
  <c r="F139" i="3"/>
  <c r="O139" i="3"/>
  <c r="C139" i="3"/>
  <c r="R139" i="3"/>
  <c r="L139" i="3"/>
  <c r="U139" i="3"/>
  <c r="I139" i="3"/>
  <c r="F197" i="3"/>
  <c r="R197" i="3"/>
  <c r="U197" i="3"/>
  <c r="L197" i="3"/>
  <c r="C197" i="3"/>
  <c r="I197" i="3"/>
  <c r="O197" i="3"/>
  <c r="Q63" i="3"/>
  <c r="T63" i="3"/>
  <c r="N63" i="3"/>
  <c r="W63" i="3"/>
  <c r="H63" i="3"/>
  <c r="K63" i="3"/>
  <c r="E63" i="3"/>
  <c r="V107" i="3"/>
  <c r="S107" i="3"/>
  <c r="M107" i="3"/>
  <c r="G107" i="3"/>
  <c r="D107" i="3"/>
  <c r="J107" i="3"/>
  <c r="P107" i="3"/>
  <c r="R91" i="3"/>
  <c r="F91" i="3"/>
  <c r="U91" i="3"/>
  <c r="I91" i="3"/>
  <c r="C91" i="3"/>
  <c r="L91" i="3"/>
  <c r="O91" i="3"/>
  <c r="E222" i="3"/>
  <c r="H222" i="3"/>
  <c r="W222" i="3"/>
  <c r="K222" i="3"/>
  <c r="Q222" i="3"/>
  <c r="T222" i="3"/>
  <c r="N222" i="3"/>
  <c r="F166" i="3"/>
  <c r="L166" i="3"/>
  <c r="O166" i="3"/>
  <c r="R166" i="3"/>
  <c r="U166" i="3"/>
  <c r="I166" i="3"/>
  <c r="C166" i="3"/>
  <c r="F54" i="3"/>
  <c r="I54" i="3"/>
  <c r="R54" i="3"/>
  <c r="U54" i="3"/>
  <c r="L54" i="3"/>
  <c r="O54" i="3"/>
  <c r="C54" i="3"/>
  <c r="Q115" i="3"/>
  <c r="N115" i="3"/>
  <c r="E115" i="3"/>
  <c r="W115" i="3"/>
  <c r="H115" i="3"/>
  <c r="K115" i="3"/>
  <c r="T115" i="3"/>
  <c r="H80" i="3"/>
  <c r="N80" i="3"/>
  <c r="E80" i="3"/>
  <c r="K80" i="3"/>
  <c r="W80" i="3"/>
  <c r="Q80" i="3"/>
  <c r="T80" i="3"/>
  <c r="G197" i="3"/>
  <c r="S197" i="3"/>
  <c r="V197" i="3"/>
  <c r="M197" i="3"/>
  <c r="D197" i="3"/>
  <c r="J197" i="3"/>
  <c r="P197" i="3"/>
  <c r="M175" i="3"/>
  <c r="J175" i="3"/>
  <c r="P175" i="3"/>
  <c r="V175" i="3"/>
  <c r="D175" i="3"/>
  <c r="S175" i="3"/>
  <c r="G175" i="3"/>
  <c r="Q77" i="3"/>
  <c r="K77" i="3"/>
  <c r="W77" i="3"/>
  <c r="H77" i="3"/>
  <c r="N77" i="3"/>
  <c r="T77" i="3"/>
  <c r="E77" i="3"/>
  <c r="H7" i="3"/>
  <c r="N7" i="3"/>
  <c r="T7" i="3"/>
  <c r="Q7" i="3"/>
  <c r="W7" i="3"/>
  <c r="K7" i="3"/>
  <c r="E7" i="3"/>
  <c r="J173" i="3"/>
  <c r="V173" i="3"/>
  <c r="S173" i="3"/>
  <c r="P173" i="3"/>
  <c r="M173" i="3"/>
  <c r="G173" i="3"/>
  <c r="D173" i="3"/>
  <c r="M47" i="3"/>
  <c r="J47" i="3"/>
  <c r="S47" i="3"/>
  <c r="G47" i="3"/>
  <c r="D47" i="3"/>
  <c r="V47" i="3"/>
  <c r="P47" i="3"/>
  <c r="M186" i="3"/>
  <c r="V186" i="3"/>
  <c r="J186" i="3"/>
  <c r="G186" i="3"/>
  <c r="P186" i="3"/>
  <c r="S186" i="3"/>
  <c r="D186" i="3"/>
  <c r="J102" i="3"/>
  <c r="G102" i="3"/>
  <c r="V102" i="3"/>
  <c r="M102" i="3"/>
  <c r="P102" i="3"/>
  <c r="S102" i="3"/>
  <c r="D102" i="3"/>
  <c r="F18" i="3"/>
  <c r="R18" i="3"/>
  <c r="L18" i="3"/>
  <c r="C18" i="3"/>
  <c r="U18" i="3"/>
  <c r="I18" i="3"/>
  <c r="O18" i="3"/>
  <c r="T34" i="3"/>
  <c r="N34" i="3"/>
  <c r="Q34" i="3"/>
  <c r="H34" i="3"/>
  <c r="W34" i="3"/>
  <c r="K34" i="3"/>
  <c r="E34" i="3"/>
  <c r="U94" i="3"/>
  <c r="L94" i="3"/>
  <c r="I94" i="3"/>
  <c r="O94" i="3"/>
  <c r="C94" i="3"/>
  <c r="R94" i="3"/>
  <c r="F94" i="3"/>
  <c r="Q94" i="3"/>
  <c r="K94" i="3"/>
  <c r="H94" i="3"/>
  <c r="N94" i="3"/>
  <c r="T94" i="3"/>
  <c r="W94" i="3"/>
  <c r="E94" i="3"/>
  <c r="T149" i="3"/>
  <c r="Q149" i="3"/>
  <c r="K149" i="3"/>
  <c r="N149" i="3"/>
  <c r="E149" i="3"/>
  <c r="H149" i="3"/>
  <c r="W149" i="3"/>
  <c r="J106" i="3"/>
  <c r="V106" i="3"/>
  <c r="S106" i="3"/>
  <c r="P106" i="3"/>
  <c r="M106" i="3"/>
  <c r="D106" i="3"/>
  <c r="G106" i="3"/>
  <c r="F58" i="3"/>
  <c r="I58" i="3"/>
  <c r="C58" i="3"/>
  <c r="R58" i="3"/>
  <c r="U58" i="3"/>
  <c r="L58" i="3"/>
  <c r="O58" i="3"/>
  <c r="T157" i="3"/>
  <c r="N157" i="3"/>
  <c r="Q157" i="3"/>
  <c r="E157" i="3"/>
  <c r="H157" i="3"/>
  <c r="K157" i="3"/>
  <c r="W157" i="3"/>
  <c r="M128" i="3"/>
  <c r="V128" i="3"/>
  <c r="S128" i="3"/>
  <c r="G128" i="3"/>
  <c r="P128" i="3"/>
  <c r="J128" i="3"/>
  <c r="D128" i="3"/>
  <c r="U72" i="3"/>
  <c r="O72" i="3"/>
  <c r="R72" i="3"/>
  <c r="F72" i="3"/>
  <c r="I72" i="3"/>
  <c r="L72" i="3"/>
  <c r="C72" i="3"/>
  <c r="F147" i="3"/>
  <c r="U147" i="3"/>
  <c r="L147" i="3"/>
  <c r="O147" i="3"/>
  <c r="R147" i="3"/>
  <c r="I147" i="3"/>
  <c r="C147" i="3"/>
  <c r="J70" i="3"/>
  <c r="G70" i="3"/>
  <c r="V70" i="3"/>
  <c r="S70" i="3"/>
  <c r="D70" i="3"/>
  <c r="M70" i="3"/>
  <c r="P70" i="3"/>
  <c r="T205" i="3"/>
  <c r="N205" i="3"/>
  <c r="Q205" i="3"/>
  <c r="H205" i="3"/>
  <c r="E205" i="3"/>
  <c r="W205" i="3"/>
  <c r="K205" i="3"/>
  <c r="Q71" i="3"/>
  <c r="T71" i="3"/>
  <c r="W71" i="3"/>
  <c r="H71" i="3"/>
  <c r="N71" i="3"/>
  <c r="K71" i="3"/>
  <c r="E71" i="3"/>
  <c r="Q113" i="3"/>
  <c r="K113" i="3"/>
  <c r="W113" i="3"/>
  <c r="N113" i="3"/>
  <c r="H113" i="3"/>
  <c r="E113" i="3"/>
  <c r="T113" i="3"/>
  <c r="M140" i="3"/>
  <c r="S140" i="3"/>
  <c r="G140" i="3"/>
  <c r="J140" i="3"/>
  <c r="V140" i="3"/>
  <c r="D140" i="3"/>
  <c r="P140" i="3"/>
  <c r="G40" i="3"/>
  <c r="J40" i="3"/>
  <c r="P40" i="3"/>
  <c r="V40" i="3"/>
  <c r="S40" i="3"/>
  <c r="M40" i="3"/>
  <c r="D40" i="3"/>
  <c r="M222" i="3"/>
  <c r="P222" i="3"/>
  <c r="G222" i="3"/>
  <c r="V222" i="3"/>
  <c r="J222" i="3"/>
  <c r="S222" i="3"/>
  <c r="D222" i="3"/>
  <c r="N152" i="3"/>
  <c r="H152" i="3"/>
  <c r="W152" i="3"/>
  <c r="K152" i="3"/>
  <c r="E152" i="3"/>
  <c r="Q152" i="3"/>
  <c r="T152" i="3"/>
  <c r="T40" i="3"/>
  <c r="W40" i="3"/>
  <c r="H40" i="3"/>
  <c r="K40" i="3"/>
  <c r="Q40" i="3"/>
  <c r="N40" i="3"/>
  <c r="E40" i="3"/>
  <c r="F10" i="3"/>
  <c r="O10" i="3"/>
  <c r="I10" i="3"/>
  <c r="L10" i="3"/>
  <c r="R10" i="3"/>
  <c r="U10" i="3"/>
  <c r="C10" i="3"/>
  <c r="U80" i="3"/>
  <c r="R80" i="3"/>
  <c r="O80" i="3"/>
  <c r="I80" i="3"/>
  <c r="C80" i="3"/>
  <c r="F80" i="3"/>
  <c r="L80" i="3"/>
  <c r="N57" i="3"/>
  <c r="W57" i="3"/>
  <c r="H57" i="3"/>
  <c r="Q57" i="3"/>
  <c r="E57" i="3"/>
  <c r="T57" i="3"/>
  <c r="K57" i="3"/>
  <c r="T217" i="3"/>
  <c r="H217" i="3"/>
  <c r="E217" i="3"/>
  <c r="Q217" i="3"/>
  <c r="K217" i="3"/>
  <c r="N217" i="3"/>
  <c r="W217" i="3"/>
  <c r="P77" i="3"/>
  <c r="G77" i="3"/>
  <c r="V77" i="3"/>
  <c r="J77" i="3"/>
  <c r="M77" i="3"/>
  <c r="S77" i="3"/>
  <c r="D77" i="3"/>
  <c r="M7" i="3"/>
  <c r="P7" i="3"/>
  <c r="G7" i="3"/>
  <c r="S7" i="3"/>
  <c r="J7" i="3"/>
  <c r="V7" i="3"/>
  <c r="D7" i="3"/>
  <c r="P159" i="3"/>
  <c r="J159" i="3"/>
  <c r="S159" i="3"/>
  <c r="D159" i="3"/>
  <c r="G159" i="3"/>
  <c r="M159" i="3"/>
  <c r="V159" i="3"/>
  <c r="K19" i="3"/>
  <c r="H19" i="3"/>
  <c r="Q19" i="3"/>
  <c r="T19" i="3"/>
  <c r="E19" i="3"/>
  <c r="N19" i="3"/>
  <c r="W19" i="3"/>
  <c r="U5" i="3"/>
  <c r="I5" i="3"/>
  <c r="F5" i="3"/>
  <c r="R5" i="3"/>
  <c r="L5" i="3"/>
  <c r="O5" i="3"/>
  <c r="C5" i="3"/>
  <c r="T171" i="3"/>
  <c r="E171" i="3"/>
  <c r="H171" i="3"/>
  <c r="N171" i="3"/>
  <c r="W171" i="3"/>
  <c r="Q171" i="3"/>
  <c r="K171" i="3"/>
  <c r="I186" i="3"/>
  <c r="U186" i="3"/>
  <c r="O186" i="3"/>
  <c r="R186" i="3"/>
  <c r="C186" i="3"/>
  <c r="F186" i="3"/>
  <c r="L186" i="3"/>
  <c r="T88" i="3"/>
  <c r="W88" i="3"/>
  <c r="Q88" i="3"/>
  <c r="N88" i="3"/>
  <c r="H88" i="3"/>
  <c r="K88" i="3"/>
  <c r="E88" i="3"/>
  <c r="J18" i="3"/>
  <c r="P18" i="3"/>
  <c r="G18" i="3"/>
  <c r="V18" i="3"/>
  <c r="D18" i="3"/>
  <c r="M18" i="3"/>
  <c r="S18" i="3"/>
  <c r="H122" i="3"/>
  <c r="K122" i="3"/>
  <c r="E122" i="3"/>
  <c r="T122" i="3"/>
  <c r="N122" i="3"/>
  <c r="Q122" i="3"/>
  <c r="W122" i="3"/>
  <c r="Q93" i="3"/>
  <c r="N93" i="3"/>
  <c r="H93" i="3"/>
  <c r="E93" i="3"/>
  <c r="K93" i="3"/>
  <c r="W93" i="3"/>
  <c r="T93" i="3"/>
  <c r="U106" i="3"/>
  <c r="L106" i="3"/>
  <c r="F106" i="3"/>
  <c r="R106" i="3"/>
  <c r="O106" i="3"/>
  <c r="I106" i="3"/>
  <c r="C106" i="3"/>
  <c r="O73" i="3"/>
  <c r="I73" i="3"/>
  <c r="R73" i="3"/>
  <c r="L73" i="3"/>
  <c r="C73" i="3"/>
  <c r="U73" i="3"/>
  <c r="F73" i="3"/>
  <c r="G157" i="3"/>
  <c r="D157" i="3"/>
  <c r="M157" i="3"/>
  <c r="P157" i="3"/>
  <c r="J157" i="3"/>
  <c r="S157" i="3"/>
  <c r="V157" i="3"/>
  <c r="Q76" i="3"/>
  <c r="K76" i="3"/>
  <c r="H76" i="3"/>
  <c r="N76" i="3"/>
  <c r="W76" i="3"/>
  <c r="E76" i="3"/>
  <c r="T76" i="3"/>
  <c r="I128" i="3"/>
  <c r="U128" i="3"/>
  <c r="F128" i="3"/>
  <c r="C128" i="3"/>
  <c r="O128" i="3"/>
  <c r="R128" i="3"/>
  <c r="L128" i="3"/>
  <c r="K72" i="3"/>
  <c r="W72" i="3"/>
  <c r="H72" i="3"/>
  <c r="E72" i="3"/>
  <c r="N72" i="3"/>
  <c r="Q72" i="3"/>
  <c r="T72" i="3"/>
  <c r="T5" i="3"/>
  <c r="H5" i="3"/>
  <c r="Q5" i="3"/>
  <c r="K5" i="3"/>
  <c r="N5" i="3"/>
  <c r="W5" i="3"/>
  <c r="E5" i="3"/>
  <c r="Q79" i="3"/>
  <c r="N79" i="3"/>
  <c r="E79" i="3"/>
  <c r="K79" i="3"/>
  <c r="W79" i="3"/>
  <c r="H79" i="3"/>
  <c r="T79" i="3"/>
  <c r="J213" i="3"/>
  <c r="S213" i="3"/>
  <c r="G213" i="3"/>
  <c r="V213" i="3"/>
  <c r="M213" i="3"/>
  <c r="D213" i="3"/>
  <c r="P213" i="3"/>
  <c r="I140" i="3"/>
  <c r="U140" i="3"/>
  <c r="L140" i="3"/>
  <c r="R140" i="3"/>
  <c r="C140" i="3"/>
  <c r="F140" i="3"/>
  <c r="O140" i="3"/>
  <c r="W49" i="3"/>
  <c r="K49" i="3"/>
  <c r="N49" i="3"/>
  <c r="H49" i="3"/>
  <c r="Q49" i="3"/>
  <c r="T49" i="3"/>
  <c r="E49" i="3"/>
  <c r="F222" i="3"/>
  <c r="L222" i="3"/>
  <c r="O222" i="3"/>
  <c r="R222" i="3"/>
  <c r="U222" i="3"/>
  <c r="C222" i="3"/>
  <c r="I222" i="3"/>
  <c r="M152" i="3"/>
  <c r="D152" i="3"/>
  <c r="V152" i="3"/>
  <c r="G152" i="3"/>
  <c r="J152" i="3"/>
  <c r="S152" i="3"/>
  <c r="P152" i="3"/>
  <c r="J96" i="3"/>
  <c r="S96" i="3"/>
  <c r="G96" i="3"/>
  <c r="P96" i="3"/>
  <c r="M96" i="3"/>
  <c r="V96" i="3"/>
  <c r="D96" i="3"/>
  <c r="F40" i="3"/>
  <c r="I40" i="3"/>
  <c r="U40" i="3"/>
  <c r="R40" i="3"/>
  <c r="O40" i="3"/>
  <c r="L40" i="3"/>
  <c r="C40" i="3"/>
  <c r="M17" i="3"/>
  <c r="P17" i="3"/>
  <c r="S17" i="3"/>
  <c r="G17" i="3"/>
  <c r="V17" i="3"/>
  <c r="J17" i="3"/>
  <c r="D17" i="3"/>
  <c r="G183" i="3"/>
  <c r="S183" i="3"/>
  <c r="M183" i="3"/>
  <c r="P183" i="3"/>
  <c r="V183" i="3"/>
  <c r="J183" i="3"/>
  <c r="D183" i="3"/>
  <c r="J80" i="3"/>
  <c r="G80" i="3"/>
  <c r="S80" i="3"/>
  <c r="V80" i="3"/>
  <c r="D80" i="3"/>
  <c r="M80" i="3"/>
  <c r="P80" i="3"/>
  <c r="P217" i="3"/>
  <c r="G217" i="3"/>
  <c r="J217" i="3"/>
  <c r="V217" i="3"/>
  <c r="D217" i="3"/>
  <c r="M217" i="3"/>
  <c r="S217" i="3"/>
  <c r="F159" i="3"/>
  <c r="U159" i="3"/>
  <c r="I159" i="3"/>
  <c r="L159" i="3"/>
  <c r="R159" i="3"/>
  <c r="O159" i="3"/>
  <c r="C159" i="3"/>
  <c r="M19" i="3"/>
  <c r="G19" i="3"/>
  <c r="D19" i="3"/>
  <c r="S19" i="3"/>
  <c r="P19" i="3"/>
  <c r="J19" i="3"/>
  <c r="V19" i="3"/>
  <c r="N200" i="3"/>
  <c r="Q200" i="3"/>
  <c r="H200" i="3"/>
  <c r="W200" i="3"/>
  <c r="K200" i="3"/>
  <c r="E200" i="3"/>
  <c r="T200" i="3"/>
  <c r="O105" i="3"/>
  <c r="R105" i="3"/>
  <c r="C105" i="3"/>
  <c r="I105" i="3"/>
  <c r="U105" i="3"/>
  <c r="F105" i="3"/>
  <c r="L105" i="3"/>
  <c r="F129" i="3"/>
  <c r="U129" i="3"/>
  <c r="I129" i="3"/>
  <c r="C129" i="3"/>
  <c r="O129" i="3"/>
  <c r="R129" i="3"/>
  <c r="L129" i="3"/>
  <c r="U88" i="3"/>
  <c r="F88" i="3"/>
  <c r="C88" i="3"/>
  <c r="O88" i="3"/>
  <c r="R88" i="3"/>
  <c r="I88" i="3"/>
  <c r="L88" i="3"/>
  <c r="M4" i="3"/>
  <c r="V4" i="3"/>
  <c r="G4" i="3"/>
  <c r="J4" i="3"/>
  <c r="P4" i="3"/>
  <c r="S4" i="3"/>
  <c r="D4" i="3"/>
  <c r="Q17" i="3"/>
  <c r="W17" i="3"/>
  <c r="E17" i="3"/>
  <c r="N17" i="3"/>
  <c r="T17" i="3"/>
  <c r="K17" i="3"/>
  <c r="H17" i="3"/>
  <c r="G79" i="3"/>
  <c r="S79" i="3"/>
  <c r="J79" i="3"/>
  <c r="D79" i="3"/>
  <c r="V79" i="3"/>
  <c r="M79" i="3"/>
  <c r="P79" i="3"/>
  <c r="J64" i="3"/>
  <c r="M64" i="3"/>
  <c r="D64" i="3"/>
  <c r="P64" i="3"/>
  <c r="S64" i="3"/>
  <c r="G64" i="3"/>
  <c r="V64" i="3"/>
  <c r="G87" i="3"/>
  <c r="V87" i="3"/>
  <c r="M87" i="3"/>
  <c r="S87" i="3"/>
  <c r="P87" i="3"/>
  <c r="J87" i="3"/>
  <c r="D87" i="3"/>
  <c r="T129" i="3"/>
  <c r="N129" i="3"/>
  <c r="E129" i="3"/>
  <c r="Q129" i="3"/>
  <c r="W129" i="3"/>
  <c r="H129" i="3"/>
  <c r="K129" i="3"/>
  <c r="P58" i="3"/>
  <c r="G58" i="3"/>
  <c r="V58" i="3"/>
  <c r="S58" i="3"/>
  <c r="J58" i="3"/>
  <c r="D58" i="3"/>
  <c r="M58" i="3"/>
  <c r="J76" i="3"/>
  <c r="M76" i="3"/>
  <c r="G76" i="3"/>
  <c r="D76" i="3"/>
  <c r="P76" i="3"/>
  <c r="S76" i="3"/>
  <c r="V76" i="3"/>
  <c r="M226" i="3"/>
  <c r="V226" i="3"/>
  <c r="P226" i="3"/>
  <c r="J226" i="3"/>
  <c r="S226" i="3"/>
  <c r="D226" i="3"/>
  <c r="G226" i="3"/>
  <c r="T128" i="3"/>
  <c r="W128" i="3"/>
  <c r="H128" i="3"/>
  <c r="Q128" i="3"/>
  <c r="K128" i="3"/>
  <c r="E128" i="3"/>
  <c r="N128" i="3"/>
  <c r="T14" i="3"/>
  <c r="N14" i="3"/>
  <c r="Q14" i="3"/>
  <c r="K14" i="3"/>
  <c r="H14" i="3"/>
  <c r="W14" i="3"/>
  <c r="E14" i="3"/>
  <c r="M206" i="3"/>
  <c r="J206" i="3"/>
  <c r="V206" i="3"/>
  <c r="P206" i="3"/>
  <c r="S206" i="3"/>
  <c r="D206" i="3"/>
  <c r="G206" i="3"/>
  <c r="N208" i="3"/>
  <c r="T208" i="3"/>
  <c r="Q208" i="3"/>
  <c r="E208" i="3"/>
  <c r="H208" i="3"/>
  <c r="K208" i="3"/>
  <c r="W208" i="3"/>
  <c r="U152" i="3"/>
  <c r="F152" i="3"/>
  <c r="I152" i="3"/>
  <c r="C152" i="3"/>
  <c r="L152" i="3"/>
  <c r="O152" i="3"/>
  <c r="R152" i="3"/>
  <c r="U96" i="3"/>
  <c r="L96" i="3"/>
  <c r="F96" i="3"/>
  <c r="I96" i="3"/>
  <c r="C96" i="3"/>
  <c r="R96" i="3"/>
  <c r="O96" i="3"/>
  <c r="T33" i="3"/>
  <c r="W33" i="3"/>
  <c r="Q33" i="3"/>
  <c r="K33" i="3"/>
  <c r="N33" i="3"/>
  <c r="H33" i="3"/>
  <c r="E33" i="3"/>
  <c r="J66" i="3"/>
  <c r="P66" i="3"/>
  <c r="M66" i="3"/>
  <c r="S66" i="3"/>
  <c r="V66" i="3"/>
  <c r="D66" i="3"/>
  <c r="G66" i="3"/>
  <c r="M103" i="3"/>
  <c r="P103" i="3"/>
  <c r="G103" i="3"/>
  <c r="S103" i="3"/>
  <c r="J103" i="3"/>
  <c r="D103" i="3"/>
  <c r="V103" i="3"/>
  <c r="T203" i="3"/>
  <c r="K203" i="3"/>
  <c r="N203" i="3"/>
  <c r="W203" i="3"/>
  <c r="E203" i="3"/>
  <c r="H203" i="3"/>
  <c r="Q203" i="3"/>
  <c r="T215" i="3"/>
  <c r="Q215" i="3"/>
  <c r="W215" i="3"/>
  <c r="H215" i="3"/>
  <c r="E215" i="3"/>
  <c r="K215" i="3"/>
  <c r="N215" i="3"/>
  <c r="T159" i="3"/>
  <c r="Q159" i="3"/>
  <c r="H159" i="3"/>
  <c r="K159" i="3"/>
  <c r="E159" i="3"/>
  <c r="W159" i="3"/>
  <c r="N159" i="3"/>
  <c r="L19" i="3"/>
  <c r="O19" i="3"/>
  <c r="F19" i="3"/>
  <c r="I19" i="3"/>
  <c r="R19" i="3"/>
  <c r="C19" i="3"/>
  <c r="U19" i="3"/>
  <c r="G143" i="3"/>
  <c r="S143" i="3"/>
  <c r="P143" i="3"/>
  <c r="J143" i="3"/>
  <c r="V143" i="3"/>
  <c r="D143" i="3"/>
  <c r="M143" i="3"/>
  <c r="J88" i="3"/>
  <c r="M88" i="3"/>
  <c r="V88" i="3"/>
  <c r="G88" i="3"/>
  <c r="P88" i="3"/>
  <c r="D88" i="3"/>
  <c r="S88" i="3"/>
  <c r="F4" i="3"/>
  <c r="L4" i="3"/>
  <c r="R4" i="3"/>
  <c r="I4" i="3"/>
  <c r="C4" i="3"/>
  <c r="O4" i="3"/>
  <c r="U4" i="3"/>
</calcChain>
</file>

<file path=xl/sharedStrings.xml><?xml version="1.0" encoding="utf-8"?>
<sst xmlns="http://schemas.openxmlformats.org/spreadsheetml/2006/main" count="1486" uniqueCount="491">
  <si>
    <t>CAS Nr.</t>
  </si>
  <si>
    <t>Rohstoff</t>
  </si>
  <si>
    <t>warm</t>
  </si>
  <si>
    <t>green</t>
  </si>
  <si>
    <t>floral</t>
  </si>
  <si>
    <t>citrus</t>
  </si>
  <si>
    <t>exotic</t>
  </si>
  <si>
    <t>Walderdbeere</t>
  </si>
  <si>
    <t>Outlayer</t>
  </si>
  <si>
    <t>0 - 10</t>
  </si>
  <si>
    <t>0 - 20</t>
  </si>
  <si>
    <t>14667-55-1</t>
  </si>
  <si>
    <t>2,3,5-Trimethylpyrazin, natürlich Halal</t>
  </si>
  <si>
    <t>1192-62-7</t>
  </si>
  <si>
    <t>2-Acetylfuran, natürlich</t>
  </si>
  <si>
    <t>15679-12-6</t>
  </si>
  <si>
    <t>2-Ethyl-4-methylthiazol, natürlich</t>
  </si>
  <si>
    <t>110-43-0</t>
  </si>
  <si>
    <t>2-Heptanon Halal</t>
  </si>
  <si>
    <t>137-32-6</t>
  </si>
  <si>
    <t>2-Methyl-1-butanol, natürlich Kosher Halal</t>
  </si>
  <si>
    <t>3142-72-1</t>
  </si>
  <si>
    <t>2-Methyl-2-pentensäure</t>
  </si>
  <si>
    <t>116-53-0</t>
  </si>
  <si>
    <t>2-Methylbuttersäure Halal Kosher</t>
  </si>
  <si>
    <t>2445-78-5</t>
  </si>
  <si>
    <t>2-Methylbutyl-2-methylbutyrat</t>
  </si>
  <si>
    <t>624-41-9</t>
  </si>
  <si>
    <t>2-Methylbutylacetat Kosher Halal</t>
  </si>
  <si>
    <t>51115-64-1</t>
  </si>
  <si>
    <t>2-Methylbutylbutyrat</t>
  </si>
  <si>
    <t>2445-77-4</t>
  </si>
  <si>
    <t>2-Methylbutylisovalerat</t>
  </si>
  <si>
    <t>821-55-6</t>
  </si>
  <si>
    <t>2-Nonanon, natürlich Halal</t>
  </si>
  <si>
    <t>111-13-7</t>
  </si>
  <si>
    <t>2-Octanon Halal</t>
  </si>
  <si>
    <t>4643-27-0</t>
  </si>
  <si>
    <t>2-Octen-4-on</t>
  </si>
  <si>
    <t>107-87-9</t>
  </si>
  <si>
    <t>2-Pentanon, natürlich Halal</t>
  </si>
  <si>
    <t>112-12-9</t>
  </si>
  <si>
    <t>2-Undecanon, natürlich Halal</t>
  </si>
  <si>
    <t>7786-61-0</t>
  </si>
  <si>
    <t>4-Vinylguajacol 1% in PG, natürlich</t>
  </si>
  <si>
    <t>105-57-7</t>
  </si>
  <si>
    <t>Acetal Halal</t>
  </si>
  <si>
    <t>75-07-0</t>
  </si>
  <si>
    <t>Acetaldehyd Halal Kosher</t>
  </si>
  <si>
    <t>3390-12-3</t>
  </si>
  <si>
    <t>Acetaldehyd PG acetal</t>
  </si>
  <si>
    <t>513-86-0</t>
  </si>
  <si>
    <t>Acetoin 50% in PG Kosher Halal</t>
  </si>
  <si>
    <t>67-64-1</t>
  </si>
  <si>
    <t>Aceton</t>
  </si>
  <si>
    <t>98-86-2</t>
  </si>
  <si>
    <t>Acetophenon, natürlich Halal</t>
  </si>
  <si>
    <t>2719-08-6</t>
  </si>
  <si>
    <t>Acetyl N-methylanthranilat</t>
  </si>
  <si>
    <t>600-14-6</t>
  </si>
  <si>
    <t>Acetylpropionyl Halal</t>
  </si>
  <si>
    <t>123-68-2</t>
  </si>
  <si>
    <t>Allylhexanoat, natürlich Halal</t>
  </si>
  <si>
    <t>127-41-3</t>
  </si>
  <si>
    <t>alpha-Ionon Halal Kosher</t>
  </si>
  <si>
    <t>79-69-6</t>
  </si>
  <si>
    <t>alpha-Iron</t>
  </si>
  <si>
    <t>98-55-5</t>
  </si>
  <si>
    <t>alpha-Terpineol Kosher Halal</t>
  </si>
  <si>
    <t>64-18-6</t>
  </si>
  <si>
    <t>Ameisensäure 80%, natürlich Kosher, Halal</t>
  </si>
  <si>
    <t>540-18-1</t>
  </si>
  <si>
    <t>Amylbutyrat</t>
  </si>
  <si>
    <t>123-11-5</t>
  </si>
  <si>
    <t>Anisaldehyd Halal</t>
  </si>
  <si>
    <t>104-21-2</t>
  </si>
  <si>
    <t>Anisylacetat Halal</t>
  </si>
  <si>
    <t>100-52-7</t>
  </si>
  <si>
    <t>Benzaldehyd Kosher Halal</t>
  </si>
  <si>
    <t>140-11-4</t>
  </si>
  <si>
    <t>Benzylacetat Halal</t>
  </si>
  <si>
    <t>100-51-6</t>
  </si>
  <si>
    <t>Benzylalkohol Halal</t>
  </si>
  <si>
    <t>120-51-4</t>
  </si>
  <si>
    <t>Benzylbenzoat Halal</t>
  </si>
  <si>
    <t>103-37-7</t>
  </si>
  <si>
    <t>Benzylbutyrat</t>
  </si>
  <si>
    <t>103-41-3</t>
  </si>
  <si>
    <t>Benzylcinnamat Halal</t>
  </si>
  <si>
    <t>87-44-5</t>
  </si>
  <si>
    <t>beta-Caryophyllen, natürlich Halal</t>
  </si>
  <si>
    <t>23696-85-7</t>
  </si>
  <si>
    <t>beta-Damascenon, natürlich Kosher Halal</t>
  </si>
  <si>
    <t>23726-92-3</t>
  </si>
  <si>
    <t>beta-Damascon Halal</t>
  </si>
  <si>
    <t>14901-07-6</t>
  </si>
  <si>
    <t>beta-Ionon Halal Kosher</t>
  </si>
  <si>
    <t>71-36-3</t>
  </si>
  <si>
    <t>Butanol, natürlich Halal</t>
  </si>
  <si>
    <t>107-92-6</t>
  </si>
  <si>
    <t>Buttersäure Halal Kosher</t>
  </si>
  <si>
    <t>123-86-4</t>
  </si>
  <si>
    <t>Butylacetat Kosher Halal</t>
  </si>
  <si>
    <t>109-21-7</t>
  </si>
  <si>
    <t>Butylbutyrat Halal</t>
  </si>
  <si>
    <t>626-82-4</t>
  </si>
  <si>
    <t>Butylhexanoat Halal</t>
  </si>
  <si>
    <t>109-19-3</t>
  </si>
  <si>
    <t>Butylisovalerat Halal</t>
  </si>
  <si>
    <t>103-54-8</t>
  </si>
  <si>
    <t>Cinnamylacetat</t>
  </si>
  <si>
    <t>928-96-1</t>
  </si>
  <si>
    <t>cis-3-Hexen-1-ol Halal Kosher</t>
  </si>
  <si>
    <t>53398-85-9</t>
  </si>
  <si>
    <t>cis-3-Hexenyl-2-methylbutyrat</t>
  </si>
  <si>
    <t>3681-71-8</t>
  </si>
  <si>
    <t>cis-3-Hexenylacetat Halal Kosher</t>
  </si>
  <si>
    <t>16491-36-4</t>
  </si>
  <si>
    <t>cis-3-Hexenylbutyrat Halal</t>
  </si>
  <si>
    <t>33467-73-1</t>
  </si>
  <si>
    <t>cis-3-Hexenylformiat Kosher Halal</t>
  </si>
  <si>
    <t>31501-11-8</t>
  </si>
  <si>
    <t>cis-3-Hexenylhexanoat Halal</t>
  </si>
  <si>
    <t>61931-81-5</t>
  </si>
  <si>
    <t>cis-3-Hexenyllactat Halal</t>
  </si>
  <si>
    <t>33467-74-2</t>
  </si>
  <si>
    <t>cis-3-Hexenylpropionat</t>
  </si>
  <si>
    <t>106-22-9</t>
  </si>
  <si>
    <t>Citronellol, natürlich Kosher, Halal</t>
  </si>
  <si>
    <t>765-70-8</t>
  </si>
  <si>
    <t>Cycloten Halal Kosher</t>
  </si>
  <si>
    <t>80-71-7</t>
  </si>
  <si>
    <t>Cycloten, natürlich Halal</t>
  </si>
  <si>
    <t>8016-03-3</t>
  </si>
  <si>
    <t>Davana-Öl</t>
  </si>
  <si>
    <t>334-48-5</t>
  </si>
  <si>
    <t>Decansäure</t>
  </si>
  <si>
    <t>705-86-2</t>
  </si>
  <si>
    <t>delta-Decalacton Halal Kosher</t>
  </si>
  <si>
    <t>713-95-1</t>
  </si>
  <si>
    <t>delta-Dodecalacton Halal</t>
  </si>
  <si>
    <t>3301-94-8</t>
  </si>
  <si>
    <t>delta-Nonalacton</t>
  </si>
  <si>
    <t>698-76-0</t>
  </si>
  <si>
    <t>delta-Octalacton</t>
  </si>
  <si>
    <t>710-04-3</t>
  </si>
  <si>
    <t>delta-Undecalacton Halal Kosher</t>
  </si>
  <si>
    <t>431-03-8</t>
  </si>
  <si>
    <t>Diacetyl Halal</t>
  </si>
  <si>
    <t>105-53-3</t>
  </si>
  <si>
    <t>Diethylmalonat Halal Kosher</t>
  </si>
  <si>
    <t>123-25-1</t>
  </si>
  <si>
    <t>Diethylsuccinat</t>
  </si>
  <si>
    <t>119-84-6</t>
  </si>
  <si>
    <t>Dihydrocoumarin, natürlich Kosher Halal, BG</t>
  </si>
  <si>
    <t>85-91-6</t>
  </si>
  <si>
    <t>Dimethylanthranilat</t>
  </si>
  <si>
    <t>624-92-0</t>
  </si>
  <si>
    <t>Dimethyldisulfid, natürlich Halal, V</t>
  </si>
  <si>
    <t>75-18-3</t>
  </si>
  <si>
    <t>Dimethylsulfid, natürlich Kosher Halal BG, V</t>
  </si>
  <si>
    <t>67-68-5</t>
  </si>
  <si>
    <t>Dimethylsulfoxid Halal Kosher</t>
  </si>
  <si>
    <t>10191-41-0</t>
  </si>
  <si>
    <t>DL-Alpha-Tocopherol Halal</t>
  </si>
  <si>
    <t>64-19-7</t>
  </si>
  <si>
    <t>Essigsäure Halal Kosher</t>
  </si>
  <si>
    <t>7452-79-1</t>
  </si>
  <si>
    <t>Ethyl-2-methylbutyrat Kosher Halal</t>
  </si>
  <si>
    <t>141-78-6</t>
  </si>
  <si>
    <t>Ethylacetat Kosher Halal</t>
  </si>
  <si>
    <t>141-97-9</t>
  </si>
  <si>
    <t>Ethylacetoacetat Halal</t>
  </si>
  <si>
    <t>93-89-0</t>
  </si>
  <si>
    <t>Ethylbenzoat</t>
  </si>
  <si>
    <t>105-54-4</t>
  </si>
  <si>
    <t>Ethylbutyrat Kosher Halal</t>
  </si>
  <si>
    <t>103-36-6</t>
  </si>
  <si>
    <t>Ethylcinnamat Halal</t>
  </si>
  <si>
    <t>110-38-3</t>
  </si>
  <si>
    <t>Ethyldecanoat Halal</t>
  </si>
  <si>
    <t>109-94-4</t>
  </si>
  <si>
    <t>Ethylformiat Halal</t>
  </si>
  <si>
    <t xml:space="preserve">27538-09-6 </t>
  </si>
  <si>
    <t>Ethylfuraneol Kosher Halal</t>
  </si>
  <si>
    <t>106-30-9</t>
  </si>
  <si>
    <t>Ethylheptanoat</t>
  </si>
  <si>
    <t>123-66-0</t>
  </si>
  <si>
    <t>Ethylhexanoat Halal</t>
  </si>
  <si>
    <t>97-62-1</t>
  </si>
  <si>
    <t>Ethylisobutyrat Halal</t>
  </si>
  <si>
    <t>108-64-5</t>
  </si>
  <si>
    <t>Ethylisovalerat Kosher Halal</t>
  </si>
  <si>
    <t>97-64-3</t>
  </si>
  <si>
    <t>Ethyllactat Halal</t>
  </si>
  <si>
    <t>106-33-2</t>
  </si>
  <si>
    <t>Ethyllaurat, natürlich Kosher Halal</t>
  </si>
  <si>
    <t>4940-11-8</t>
  </si>
  <si>
    <t>Ethylmaltol Kosher Halal</t>
  </si>
  <si>
    <t>106-32-1</t>
  </si>
  <si>
    <t>Ethyloctanoat Halal Kosher</t>
  </si>
  <si>
    <t>101-97-3</t>
  </si>
  <si>
    <t>Ethylphenylacetat, natürlich Halal</t>
  </si>
  <si>
    <t>105-37-3</t>
  </si>
  <si>
    <t>Ethylpropionat Halal</t>
  </si>
  <si>
    <t>617-35-6</t>
  </si>
  <si>
    <t>Ethylpyruvat, natürlich</t>
  </si>
  <si>
    <t>3025-30-7</t>
  </si>
  <si>
    <t>Ethyl-trans,cis-2,4-decadienoat, natürlich Halal</t>
  </si>
  <si>
    <t>10544-63-5</t>
  </si>
  <si>
    <t>Ethyl-trans-2-crotonat</t>
  </si>
  <si>
    <t>623-70-1</t>
  </si>
  <si>
    <t>Ethyl-trans-2-crotonat, natürlich Halal</t>
  </si>
  <si>
    <t>539-82-2</t>
  </si>
  <si>
    <t>Ethylvalerat</t>
  </si>
  <si>
    <t>97-53-0</t>
  </si>
  <si>
    <t>Eugenol Halal</t>
  </si>
  <si>
    <t>93-28-7</t>
  </si>
  <si>
    <t>Eugenylacetat, natürlich</t>
  </si>
  <si>
    <t>1632-73-1</t>
  </si>
  <si>
    <t>Fenchol Halal</t>
  </si>
  <si>
    <t>6290-17-1</t>
  </si>
  <si>
    <t>Fraiston Halal Kosher</t>
  </si>
  <si>
    <t>3658-77-3</t>
  </si>
  <si>
    <t>Furaneol Halal</t>
  </si>
  <si>
    <t>4166-20-5</t>
  </si>
  <si>
    <t>Furaneolacetat Halal Kosher</t>
  </si>
  <si>
    <t>98-01-1</t>
  </si>
  <si>
    <t>Furfural Halal</t>
  </si>
  <si>
    <t>96-48-0</t>
  </si>
  <si>
    <t>gamma-Butyrolacton, natürlich</t>
  </si>
  <si>
    <t>706-14-9</t>
  </si>
  <si>
    <t>gamma-Decalacton Kosher Halal</t>
  </si>
  <si>
    <t>2305-05-7</t>
  </si>
  <si>
    <t>gamma-Dodecalacton Halal</t>
  </si>
  <si>
    <t>105-21-5</t>
  </si>
  <si>
    <t>gamma-Heptalacton Halal</t>
  </si>
  <si>
    <t>695-06-7</t>
  </si>
  <si>
    <t>gamma-Hexalacton Halal</t>
  </si>
  <si>
    <t>104-61-0</t>
  </si>
  <si>
    <t>gamma-Nonalacton Halal Kosher</t>
  </si>
  <si>
    <t>104-67-6</t>
  </si>
  <si>
    <t>gamma-Undecalacton Halal</t>
  </si>
  <si>
    <t>106-24-1</t>
  </si>
  <si>
    <t>Geraniol Halal Kosher</t>
  </si>
  <si>
    <t>8008-79-5</t>
  </si>
  <si>
    <t>Grüne Minze-Öl Amerikanisch</t>
  </si>
  <si>
    <t>120-57-0</t>
  </si>
  <si>
    <t>Heliotropin Halal</t>
  </si>
  <si>
    <t>66-25-1</t>
  </si>
  <si>
    <t>Hexanal Kosher Halal</t>
  </si>
  <si>
    <t>111-27-3</t>
  </si>
  <si>
    <t>Hexanol Kosher Halal</t>
  </si>
  <si>
    <t>Hexansäure mild</t>
  </si>
  <si>
    <t>142-62-1</t>
  </si>
  <si>
    <t>Hexansäure kräftig</t>
  </si>
  <si>
    <t>10032-15-2</t>
  </si>
  <si>
    <t>Hexyl-2-methylbutyrat Halal Kosher</t>
  </si>
  <si>
    <t>142-92-7</t>
  </si>
  <si>
    <t>Hexylacetat Kosher Halal</t>
  </si>
  <si>
    <t>2639-63-6</t>
  </si>
  <si>
    <t>Hexylbutyrat Halal Kosher</t>
  </si>
  <si>
    <t>6378-65-0</t>
  </si>
  <si>
    <t>Hexylhexanoat Kosher Halal</t>
  </si>
  <si>
    <t>10032-13-0</t>
  </si>
  <si>
    <t>Hexylisovalerat Halal Kosher</t>
  </si>
  <si>
    <t>5471-51-2</t>
  </si>
  <si>
    <t>Himbeerketon Halal</t>
  </si>
  <si>
    <t>104-20-1</t>
  </si>
  <si>
    <t>Himbeerketonmethylether Halal</t>
  </si>
  <si>
    <t>120-72-9</t>
  </si>
  <si>
    <t>Indol Halal</t>
  </si>
  <si>
    <t>8002-73-1</t>
  </si>
  <si>
    <t>Iris-Absolue, ca. 70% Iron Kosher Halal</t>
  </si>
  <si>
    <t>90045-90-2</t>
  </si>
  <si>
    <t>Iris-Concrete, 8% Iron Halal</t>
  </si>
  <si>
    <t xml:space="preserve">27625-35-0 </t>
  </si>
  <si>
    <t>Isoamyl-2-methylbutyrat</t>
  </si>
  <si>
    <t>27625-35-0</t>
  </si>
  <si>
    <t>Isoamyl-2-methylbutyrat, natürlich</t>
  </si>
  <si>
    <t>123-92-2</t>
  </si>
  <si>
    <t>Isoamylacetat Halal</t>
  </si>
  <si>
    <t>123-51-3</t>
  </si>
  <si>
    <t>Isoamylalkohol Kosher Halal</t>
  </si>
  <si>
    <t>106-27-4</t>
  </si>
  <si>
    <t>Isoamylbutyrat Halal</t>
  </si>
  <si>
    <t>659-70-1</t>
  </si>
  <si>
    <t>Isoamylisovalerat Kosher Halal</t>
  </si>
  <si>
    <t>102-19-2</t>
  </si>
  <si>
    <t>Isoamylphenylacetat, natürlich</t>
  </si>
  <si>
    <t>105-68-0</t>
  </si>
  <si>
    <t>Isoamylpropionat Halal Kosher</t>
  </si>
  <si>
    <t>78-83-1</t>
  </si>
  <si>
    <t>Isobutanol Halal</t>
  </si>
  <si>
    <t>79-31-2</t>
  </si>
  <si>
    <t>Isobuttersäure, natürlich Halal Kosher</t>
  </si>
  <si>
    <t>110-19-0</t>
  </si>
  <si>
    <t>Isobutylacetat Halal</t>
  </si>
  <si>
    <t>539-90-2</t>
  </si>
  <si>
    <t>Isobutylbutyrat Kosher Halal</t>
  </si>
  <si>
    <t>67-63-0</t>
  </si>
  <si>
    <t>Isopropanol Halal</t>
  </si>
  <si>
    <t>590-86-3</t>
  </si>
  <si>
    <t>Isovaleraldehyd Halal</t>
  </si>
  <si>
    <t>503-74-2</t>
  </si>
  <si>
    <t>Isovaleriansäure Halal</t>
  </si>
  <si>
    <t>8022-96-6</t>
  </si>
  <si>
    <t>Jasmin-Absolue (blumig) Halal</t>
  </si>
  <si>
    <t>8016-26-0</t>
  </si>
  <si>
    <t>Labdanum Absolue Halal</t>
  </si>
  <si>
    <t>7011-83-8</t>
  </si>
  <si>
    <t>Lactojasmon</t>
  </si>
  <si>
    <t>90063-52-8</t>
  </si>
  <si>
    <t>Limetten-Öl destilliert terpenfrei Halal</t>
  </si>
  <si>
    <t>78-70-6</t>
  </si>
  <si>
    <t>Linalool ex HO, natürlich Kosher Halal BG</t>
  </si>
  <si>
    <t>1365-19-1</t>
  </si>
  <si>
    <t>Linalooloxid, natürlich Halal</t>
  </si>
  <si>
    <t>89-78-1</t>
  </si>
  <si>
    <t>L-Menthol ex Minze, natürlich Halal</t>
  </si>
  <si>
    <t>118-71-8</t>
  </si>
  <si>
    <t>Maltol Kosher Halal</t>
  </si>
  <si>
    <t>14400-67-0</t>
  </si>
  <si>
    <t>Mango furanon, natürlich</t>
  </si>
  <si>
    <t>54814-64-1</t>
  </si>
  <si>
    <t>Massoialacton, natürlich Halal</t>
  </si>
  <si>
    <t xml:space="preserve">106-72-9  </t>
  </si>
  <si>
    <t>Melonal, natürlich Kosher Halal</t>
  </si>
  <si>
    <t>16409-45-3</t>
  </si>
  <si>
    <t>Menthylacetat, D,L-</t>
  </si>
  <si>
    <t>4077-47-8</t>
  </si>
  <si>
    <t>Mesifuran, natürlich</t>
  </si>
  <si>
    <t>868-57-5</t>
  </si>
  <si>
    <t>Methyl-2-methylbutyrat</t>
  </si>
  <si>
    <t>13532-18-8</t>
  </si>
  <si>
    <t>Methyl-3-(methylthio)propionat</t>
  </si>
  <si>
    <t>134-20-3</t>
  </si>
  <si>
    <t>Methylanthranilat Halal</t>
  </si>
  <si>
    <t>93-58-3</t>
  </si>
  <si>
    <t>Methylbenzoat Halal</t>
  </si>
  <si>
    <t>623-42-7</t>
  </si>
  <si>
    <t>Methylbutyrat Halal</t>
  </si>
  <si>
    <t>24851-98-7</t>
  </si>
  <si>
    <t>Methyldihydrojasmonat</t>
  </si>
  <si>
    <t>78-93-3</t>
  </si>
  <si>
    <t>Methylethylketon, natürlich</t>
  </si>
  <si>
    <t>110-93-0</t>
  </si>
  <si>
    <t>Methylheptenon, natürlich Kosher; Halal V;</t>
  </si>
  <si>
    <t>106-70-7</t>
  </si>
  <si>
    <t>Methylhexanoat</t>
  </si>
  <si>
    <t>119-36-8</t>
  </si>
  <si>
    <t>Methylsalicylat Halal</t>
  </si>
  <si>
    <t>1754-62-7</t>
  </si>
  <si>
    <t>Methyl-trans-cinnamat Halal</t>
  </si>
  <si>
    <t>103-26-4</t>
  </si>
  <si>
    <t>Methyl-trans-cinnamat, natürlich Kosher Halal</t>
  </si>
  <si>
    <t>8031-03-6</t>
  </si>
  <si>
    <t>Mimosa-Absolue</t>
  </si>
  <si>
    <t>8008-45-5</t>
  </si>
  <si>
    <t>Muskatnuss-Öl Terpenfrei</t>
  </si>
  <si>
    <t>123-35-3</t>
  </si>
  <si>
    <t>Myrcen, natürlich Halal BG V</t>
  </si>
  <si>
    <t>8000-34-8</t>
  </si>
  <si>
    <t>Nelkenknospen-Öl, Typ Rosine</t>
  </si>
  <si>
    <t>20702-77-6</t>
  </si>
  <si>
    <t>Neohesperidindihydrochalcon FMP Halal</t>
  </si>
  <si>
    <t>106-25-2</t>
  </si>
  <si>
    <t>Nerol Halal Kosher</t>
  </si>
  <si>
    <t>7212-44-4</t>
  </si>
  <si>
    <t>Nerolidol</t>
  </si>
  <si>
    <t>8016-38-4</t>
  </si>
  <si>
    <t>Neroli-Öl Tunisien</t>
  </si>
  <si>
    <t>141-12-8</t>
  </si>
  <si>
    <t>Nerylacetat Halal</t>
  </si>
  <si>
    <t>124-19-6</t>
  </si>
  <si>
    <t>Nonanal, natürlich Halal</t>
  </si>
  <si>
    <t>112-05-0</t>
  </si>
  <si>
    <t>Nonansäure</t>
  </si>
  <si>
    <t>124-13-0</t>
  </si>
  <si>
    <t>Octanal Halal</t>
  </si>
  <si>
    <t>124-07-2</t>
  </si>
  <si>
    <t>Octansäure</t>
  </si>
  <si>
    <t>112-14-1</t>
  </si>
  <si>
    <t>Octylacetat, natürlich</t>
  </si>
  <si>
    <t>110-39-4</t>
  </si>
  <si>
    <t>Octylbutyrat, natürlich</t>
  </si>
  <si>
    <t>8008-57-9</t>
  </si>
  <si>
    <t>Orangen-Öl terpenfrei Halal</t>
  </si>
  <si>
    <t>68647-72-3</t>
  </si>
  <si>
    <t>Orangenterpene, natürlich Kosher Halal BG V</t>
  </si>
  <si>
    <t>800-90-4</t>
  </si>
  <si>
    <t>Pfefferminz-Öl (Mentha piperita), Terpenfrei</t>
  </si>
  <si>
    <t>24817-51-4</t>
  </si>
  <si>
    <t>Phenethyl-2-methylbutyrat Halal</t>
  </si>
  <si>
    <t>103-45-7</t>
  </si>
  <si>
    <t>Phenethylacetat Halal Kosher</t>
  </si>
  <si>
    <t>60-12-8</t>
  </si>
  <si>
    <t>Phenethylalkohol Halal</t>
  </si>
  <si>
    <t>122-78-1 /  64-17-5</t>
  </si>
  <si>
    <t>Phenylacetaldehyd 10% in Ethanol, natürlich</t>
  </si>
  <si>
    <t>122-78-1</t>
  </si>
  <si>
    <t>Phenylacetaldehyd 10% in Triacetin, natürlich Halal</t>
  </si>
  <si>
    <t>71-23-8</t>
  </si>
  <si>
    <t>Propanol Halal</t>
  </si>
  <si>
    <t>123-38-6</t>
  </si>
  <si>
    <t>Propionaldehyd Kosher Halal</t>
  </si>
  <si>
    <t>79-09-4</t>
  </si>
  <si>
    <t>Propionsäure Kosher Halal</t>
  </si>
  <si>
    <t>109-60-4</t>
  </si>
  <si>
    <t>Propylacetat</t>
  </si>
  <si>
    <t>105-66-8</t>
  </si>
  <si>
    <t>Propylbutyrat Kosher</t>
  </si>
  <si>
    <t>626-77-7</t>
  </si>
  <si>
    <t>Propylhexanoat</t>
  </si>
  <si>
    <t>2432-51-1</t>
  </si>
  <si>
    <t>S-(Methylthio)butyrat</t>
  </si>
  <si>
    <t>84650-60-2</t>
  </si>
  <si>
    <t>Schwarztee Treattarome 9761 Halal</t>
  </si>
  <si>
    <t>28664-35-9</t>
  </si>
  <si>
    <t>Sotolon Halal</t>
  </si>
  <si>
    <t>91722-21-3</t>
  </si>
  <si>
    <t>Stevia-Aroma (FMP; 4% Reb A; MD) Halal</t>
  </si>
  <si>
    <t>93-92-5</t>
  </si>
  <si>
    <t>Styralylacetat Halal</t>
  </si>
  <si>
    <t>98-85-1</t>
  </si>
  <si>
    <t>Styralylalkohol Halal</t>
  </si>
  <si>
    <t>586-62-9</t>
  </si>
  <si>
    <t>Terpinolen, natürlich Halal</t>
  </si>
  <si>
    <t>38462-22-5</t>
  </si>
  <si>
    <t>Thiomenthon, natürlich Halal</t>
  </si>
  <si>
    <t xml:space="preserve">25152-84-5 </t>
  </si>
  <si>
    <t>trans,trans-2,4-Decadienal Halal</t>
  </si>
  <si>
    <t>2305-21-7</t>
  </si>
  <si>
    <t>trans-2-Hexen-1-ol Halal Kosher</t>
  </si>
  <si>
    <t>6728-26-3</t>
  </si>
  <si>
    <t>trans-2-Hexenal Kosher Halal</t>
  </si>
  <si>
    <t>13419-69-7</t>
  </si>
  <si>
    <t>trans-2-Hexensäure Kosher Halal</t>
  </si>
  <si>
    <t>2497-18-9</t>
  </si>
  <si>
    <t>trans-2-Hexenylacetat Kosher Halal</t>
  </si>
  <si>
    <t>109-52-4</t>
  </si>
  <si>
    <t>Valeriansäure Kosher Halal</t>
  </si>
  <si>
    <t>121-33-5</t>
  </si>
  <si>
    <t>Vanillin ex Eugenol, natürlich Halal Kosher, BG</t>
  </si>
  <si>
    <t>50-81-7</t>
  </si>
  <si>
    <t>Vitamin C (Ascorbinsäure E300) Kosher Halal, BG</t>
  </si>
  <si>
    <t>90045-28-6</t>
  </si>
  <si>
    <t>Wintergrün-Öl China</t>
  </si>
  <si>
    <t>8006-81-3</t>
  </si>
  <si>
    <t>Ylang-Öl VOP</t>
  </si>
  <si>
    <t>104-55-2</t>
  </si>
  <si>
    <t>Zimtaldehyd (trans) Halal</t>
  </si>
  <si>
    <t>8007-80-5</t>
  </si>
  <si>
    <t>Zimtkassie-Öl</t>
  </si>
  <si>
    <t>140-10-3</t>
  </si>
  <si>
    <t>Zimtsäure, natürlich</t>
  </si>
  <si>
    <t>8008-56-8</t>
  </si>
  <si>
    <t>Zitronen-Öl italienisch Kosher Halal</t>
  </si>
  <si>
    <t>68917-33-9</t>
  </si>
  <si>
    <t>Zitronenterpene Kosher Halal</t>
  </si>
  <si>
    <t>188.977</t>
  </si>
  <si>
    <t>Norm. Menge Rezept</t>
  </si>
  <si>
    <t>Dosage</t>
  </si>
  <si>
    <t>Norm. Menge Produkt</t>
  </si>
  <si>
    <t>Scores mit Normalisierter Menge</t>
  </si>
  <si>
    <t>Scores mit Normalisierter Menge im Produkt</t>
  </si>
  <si>
    <t>185.267</t>
  </si>
  <si>
    <t>Unpleasant Score</t>
  </si>
  <si>
    <t>Summe(Rez)</t>
  </si>
  <si>
    <t>MW(Rez)</t>
  </si>
  <si>
    <t>Med(Rez)</t>
  </si>
  <si>
    <t>Summe</t>
  </si>
  <si>
    <t>Mittelwert</t>
  </si>
  <si>
    <t>Median</t>
  </si>
  <si>
    <t>Rezept</t>
  </si>
  <si>
    <t>Unpleasant</t>
  </si>
  <si>
    <t>187.894</t>
  </si>
  <si>
    <t>Warm</t>
  </si>
  <si>
    <t>Avg_Norm_When_Present Fred</t>
  </si>
  <si>
    <t>Z-Score</t>
  </si>
  <si>
    <t>Avg_Norm_When_Present Meli</t>
  </si>
  <si>
    <t>Acetoin, natürlich Kosher Halal PUR umgerechnet!!!</t>
  </si>
  <si>
    <t>188.820</t>
  </si>
  <si>
    <t>Grün</t>
  </si>
  <si>
    <t>188.412</t>
  </si>
  <si>
    <t>187.829</t>
  </si>
  <si>
    <t>185.237</t>
  </si>
  <si>
    <t>185.294</t>
  </si>
  <si>
    <t>dairy</t>
  </si>
  <si>
    <t>Erdbeer-Aroma Wasserphase Kosher, BG</t>
  </si>
  <si>
    <t>187.776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</si>
</sst>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sz val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9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2" xfId="0" applyBorder="1"/>
    <xf numFmtId="0" fontId="2" fillId="0" borderId="0" xfId="0" applyFont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6" borderId="1" xfId="0" applyFont="1" applyFill="1" applyBorder="1"/>
    <xf numFmtId="0" fontId="1" fillId="6" borderId="10" xfId="0" applyFont="1" applyFill="1" applyBorder="1" applyAlignment="1">
      <alignment horizontal="center"/>
    </xf>
    <xf numFmtId="164" fontId="0" fillId="0" borderId="0" xfId="0" applyNumberFormat="1"/>
    <xf numFmtId="164" fontId="0" fillId="0" borderId="5" xfId="0" applyNumberFormat="1" applyBorder="1"/>
    <xf numFmtId="1" fontId="0" fillId="0" borderId="0" xfId="0" applyNumberFormat="1"/>
    <xf numFmtId="1" fontId="0" fillId="0" borderId="5" xfId="0" applyNumberFormat="1" applyBorder="1"/>
    <xf numFmtId="0" fontId="0" fillId="4" borderId="0" xfId="0" applyFill="1"/>
    <xf numFmtId="0" fontId="1" fillId="6" borderId="10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7" borderId="16" xfId="0" applyFill="1" applyBorder="1"/>
    <xf numFmtId="0" fontId="0" fillId="7" borderId="4" xfId="0" applyFill="1" applyBorder="1"/>
    <xf numFmtId="0" fontId="0" fillId="7" borderId="17" xfId="0" applyFill="1" applyBorder="1"/>
    <xf numFmtId="0" fontId="0" fillId="7" borderId="18" xfId="0" applyFill="1" applyBorder="1"/>
    <xf numFmtId="0" fontId="0" fillId="9" borderId="19" xfId="0" applyFill="1" applyBorder="1"/>
    <xf numFmtId="0" fontId="0" fillId="9" borderId="20" xfId="0" applyFill="1" applyBorder="1"/>
    <xf numFmtId="0" fontId="0" fillId="9" borderId="21" xfId="0" applyFill="1" applyBorder="1"/>
    <xf numFmtId="0" fontId="0" fillId="9" borderId="16" xfId="0" applyFill="1" applyBorder="1"/>
    <xf numFmtId="0" fontId="0" fillId="9" borderId="4" xfId="0" applyFill="1" applyBorder="1"/>
    <xf numFmtId="0" fontId="0" fillId="9" borderId="18" xfId="0" applyFill="1" applyBorder="1"/>
    <xf numFmtId="0" fontId="0" fillId="10" borderId="22" xfId="0" applyFill="1" applyBorder="1" applyAlignment="1">
      <alignment horizontal="center"/>
    </xf>
    <xf numFmtId="0" fontId="0" fillId="10" borderId="23" xfId="0" applyFill="1" applyBorder="1" applyAlignment="1">
      <alignment horizontal="center"/>
    </xf>
    <xf numFmtId="0" fontId="0" fillId="10" borderId="21" xfId="0" applyFill="1" applyBorder="1" applyAlignment="1">
      <alignment horizontal="center"/>
    </xf>
    <xf numFmtId="0" fontId="0" fillId="10" borderId="16" xfId="0" applyFill="1" applyBorder="1"/>
    <xf numFmtId="0" fontId="0" fillId="10" borderId="4" xfId="0" applyFill="1" applyBorder="1"/>
    <xf numFmtId="0" fontId="0" fillId="10" borderId="17" xfId="0" applyFill="1" applyBorder="1"/>
    <xf numFmtId="0" fontId="0" fillId="10" borderId="18" xfId="0" applyFill="1" applyBorder="1"/>
    <xf numFmtId="0" fontId="0" fillId="9" borderId="13" xfId="0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9" borderId="17" xfId="0" applyFill="1" applyBorder="1"/>
    <xf numFmtId="0" fontId="1" fillId="2" borderId="10" xfId="0" applyFont="1" applyFill="1" applyBorder="1"/>
    <xf numFmtId="0" fontId="0" fillId="9" borderId="11" xfId="0" applyFill="1" applyBorder="1"/>
    <xf numFmtId="0" fontId="0" fillId="8" borderId="19" xfId="0" applyFill="1" applyBorder="1"/>
    <xf numFmtId="0" fontId="0" fillId="8" borderId="20" xfId="0" applyFill="1" applyBorder="1"/>
    <xf numFmtId="0" fontId="0" fillId="8" borderId="21" xfId="0" applyFill="1" applyBorder="1"/>
    <xf numFmtId="0" fontId="0" fillId="8" borderId="16" xfId="0" applyFill="1" applyBorder="1"/>
    <xf numFmtId="0" fontId="0" fillId="8" borderId="4" xfId="0" applyFill="1" applyBorder="1"/>
    <xf numFmtId="0" fontId="0" fillId="8" borderId="18" xfId="0" applyFill="1" applyBorder="1"/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17" xfId="0" applyFill="1" applyBorder="1"/>
    <xf numFmtId="0" fontId="0" fillId="8" borderId="0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/>
    <xf numFmtId="0" fontId="0" fillId="6" borderId="4" xfId="0" applyFill="1" applyBorder="1"/>
    <xf numFmtId="0" fontId="0" fillId="6" borderId="17" xfId="0" applyFill="1" applyBorder="1"/>
    <xf numFmtId="0" fontId="0" fillId="6" borderId="18" xfId="0" applyFill="1" applyBorder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2C6F-8FEB-4C6C-AF9B-BE39FFE0034C}">
  <dimension ref="A1:P228"/>
  <sheetViews>
    <sheetView workbookViewId="0">
      <pane ySplit="1" topLeftCell="A47" activePane="bottomLeft" state="frozen"/>
      <selection pane="bottomLeft" activeCell="F56" sqref="F56"/>
    </sheetView>
  </sheetViews>
  <sheetFormatPr baseColWidth="10" defaultRowHeight="14.4" x14ac:dyDescent="0.3"/>
  <cols>
    <col min="1" max="1" width="11.5546875" style="2"/>
    <col min="2" max="2" width="41.21875" style="2" customWidth="1"/>
    <col min="3" max="3" width="20.5546875" customWidth="1"/>
  </cols>
  <sheetData>
    <row r="1" spans="1:16" s="2" customFormat="1" x14ac:dyDescent="0.3">
      <c r="A1" s="1" t="s">
        <v>0</v>
      </c>
      <c r="B1" s="1" t="s">
        <v>1</v>
      </c>
      <c r="C1" s="1" t="s">
        <v>475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</row>
    <row r="2" spans="1:16" s="2" customFormat="1" x14ac:dyDescent="0.3">
      <c r="A2" s="1">
        <v>0</v>
      </c>
      <c r="B2" s="1">
        <v>0</v>
      </c>
      <c r="C2" s="1" t="s">
        <v>9</v>
      </c>
      <c r="D2" s="1" t="s">
        <v>10</v>
      </c>
      <c r="E2" s="1">
        <v>0</v>
      </c>
      <c r="F2" s="1">
        <v>0</v>
      </c>
      <c r="G2" s="1">
        <v>0</v>
      </c>
      <c r="H2" s="1">
        <v>0</v>
      </c>
      <c r="I2" s="1">
        <v>0</v>
      </c>
    </row>
    <row r="3" spans="1:16" x14ac:dyDescent="0.3">
      <c r="A3" s="3" t="s">
        <v>11</v>
      </c>
      <c r="B3" s="3" t="s">
        <v>12</v>
      </c>
      <c r="C3" s="20">
        <v>3</v>
      </c>
      <c r="D3" s="20">
        <v>3</v>
      </c>
      <c r="E3" s="20">
        <v>0</v>
      </c>
      <c r="F3" s="20">
        <v>0</v>
      </c>
      <c r="G3" s="20">
        <v>0</v>
      </c>
      <c r="H3" s="20">
        <v>0</v>
      </c>
      <c r="I3" s="20">
        <v>3</v>
      </c>
    </row>
    <row r="4" spans="1:16" x14ac:dyDescent="0.3">
      <c r="A4" s="2" t="s">
        <v>13</v>
      </c>
      <c r="B4" s="2" t="s">
        <v>14</v>
      </c>
      <c r="C4" s="20">
        <v>0</v>
      </c>
      <c r="D4" s="20">
        <v>0</v>
      </c>
      <c r="E4" s="20">
        <v>0</v>
      </c>
      <c r="F4" s="20">
        <v>0</v>
      </c>
      <c r="G4" s="20">
        <v>0</v>
      </c>
      <c r="H4" s="20">
        <v>0</v>
      </c>
      <c r="I4" s="20">
        <v>0</v>
      </c>
    </row>
    <row r="5" spans="1:16" x14ac:dyDescent="0.3">
      <c r="A5" s="2" t="s">
        <v>15</v>
      </c>
      <c r="B5" s="2" t="s">
        <v>16</v>
      </c>
      <c r="C5" s="20">
        <v>0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0">
        <v>0</v>
      </c>
    </row>
    <row r="6" spans="1:16" x14ac:dyDescent="0.3">
      <c r="A6" s="2" t="s">
        <v>17</v>
      </c>
      <c r="B6" s="2" t="s">
        <v>18</v>
      </c>
      <c r="C6" s="20">
        <v>0</v>
      </c>
      <c r="D6" s="20">
        <v>0</v>
      </c>
      <c r="E6" s="20">
        <v>0</v>
      </c>
      <c r="F6" s="20">
        <v>0</v>
      </c>
      <c r="G6" s="20">
        <v>0</v>
      </c>
      <c r="H6" s="20">
        <v>0</v>
      </c>
      <c r="I6" s="20">
        <v>0</v>
      </c>
      <c r="L6" s="4"/>
      <c r="N6" s="4"/>
      <c r="O6" s="4"/>
      <c r="P6" s="4"/>
    </row>
    <row r="7" spans="1:16" x14ac:dyDescent="0.3">
      <c r="A7" s="2" t="s">
        <v>19</v>
      </c>
      <c r="B7" s="2" t="s">
        <v>20</v>
      </c>
      <c r="C7" s="20">
        <v>0</v>
      </c>
      <c r="D7" s="20">
        <v>0</v>
      </c>
      <c r="E7" s="20">
        <v>0</v>
      </c>
      <c r="F7" s="20">
        <v>0</v>
      </c>
      <c r="G7" s="20">
        <v>0</v>
      </c>
      <c r="H7" s="20">
        <v>0</v>
      </c>
      <c r="I7" s="20">
        <v>0</v>
      </c>
      <c r="L7" s="4"/>
      <c r="N7" s="4"/>
      <c r="O7" s="4"/>
      <c r="P7" s="4"/>
    </row>
    <row r="8" spans="1:16" x14ac:dyDescent="0.3">
      <c r="A8" s="2" t="s">
        <v>21</v>
      </c>
      <c r="B8" s="2" t="s">
        <v>22</v>
      </c>
      <c r="C8" s="20">
        <v>0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L8" s="4"/>
      <c r="N8" s="4"/>
      <c r="O8" s="4"/>
      <c r="P8" s="4"/>
    </row>
    <row r="9" spans="1:16" x14ac:dyDescent="0.3">
      <c r="A9" s="2" t="s">
        <v>23</v>
      </c>
      <c r="B9" s="2" t="s">
        <v>24</v>
      </c>
      <c r="C9" s="20">
        <v>2</v>
      </c>
      <c r="D9" s="20">
        <v>2</v>
      </c>
      <c r="E9" s="20">
        <v>0</v>
      </c>
      <c r="F9" s="20">
        <v>0</v>
      </c>
      <c r="G9" s="20">
        <v>2</v>
      </c>
      <c r="H9" s="20">
        <v>2</v>
      </c>
      <c r="I9" s="20">
        <v>0</v>
      </c>
      <c r="L9" s="4"/>
      <c r="N9" s="4"/>
      <c r="O9" s="4"/>
      <c r="P9" s="4"/>
    </row>
    <row r="10" spans="1:16" x14ac:dyDescent="0.3">
      <c r="A10" s="2" t="s">
        <v>25</v>
      </c>
      <c r="B10" s="2" t="s">
        <v>26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L10" s="4"/>
      <c r="N10" s="4"/>
      <c r="O10" s="4"/>
      <c r="P10" s="4"/>
    </row>
    <row r="11" spans="1:16" x14ac:dyDescent="0.3">
      <c r="A11" s="2" t="s">
        <v>27</v>
      </c>
      <c r="B11" s="2" t="s">
        <v>28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L11" s="4"/>
      <c r="N11" s="4"/>
      <c r="O11" s="4"/>
      <c r="P11" s="4"/>
    </row>
    <row r="12" spans="1:16" x14ac:dyDescent="0.3">
      <c r="A12" s="2" t="s">
        <v>29</v>
      </c>
      <c r="B12" s="2" t="s">
        <v>30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L12" s="4"/>
      <c r="N12" s="4"/>
      <c r="O12" s="4"/>
      <c r="P12" s="4"/>
    </row>
    <row r="13" spans="1:16" x14ac:dyDescent="0.3">
      <c r="A13" s="2" t="s">
        <v>31</v>
      </c>
      <c r="B13" s="2" t="s">
        <v>32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L13" s="4"/>
      <c r="N13" s="4"/>
      <c r="O13" s="4"/>
      <c r="P13" s="4"/>
    </row>
    <row r="14" spans="1:16" x14ac:dyDescent="0.3">
      <c r="A14" s="2" t="s">
        <v>33</v>
      </c>
      <c r="B14" s="2" t="s">
        <v>34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L14" s="4"/>
      <c r="N14" s="4"/>
      <c r="O14" s="4"/>
      <c r="P14" s="4"/>
    </row>
    <row r="15" spans="1:16" x14ac:dyDescent="0.3">
      <c r="A15" s="2" t="s">
        <v>35</v>
      </c>
      <c r="B15" s="2" t="s">
        <v>36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L15" s="4"/>
      <c r="N15" s="4"/>
      <c r="O15" s="4"/>
      <c r="P15" s="4"/>
    </row>
    <row r="16" spans="1:16" x14ac:dyDescent="0.3">
      <c r="A16" s="2" t="s">
        <v>37</v>
      </c>
      <c r="B16" s="2" t="s">
        <v>38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L16" s="4"/>
      <c r="N16" s="4"/>
      <c r="O16" s="4"/>
      <c r="P16" s="4"/>
    </row>
    <row r="17" spans="1:16" x14ac:dyDescent="0.3">
      <c r="A17" s="2" t="s">
        <v>39</v>
      </c>
      <c r="B17" s="2" t="s">
        <v>40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L17" s="4"/>
      <c r="N17" s="4"/>
      <c r="O17" s="4"/>
      <c r="P17" s="4"/>
    </row>
    <row r="18" spans="1:16" x14ac:dyDescent="0.3">
      <c r="A18" s="2" t="s">
        <v>41</v>
      </c>
      <c r="B18" s="2" t="s">
        <v>42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L18" s="4"/>
      <c r="N18" s="4"/>
      <c r="O18" s="4"/>
      <c r="P18" s="4"/>
    </row>
    <row r="19" spans="1:16" x14ac:dyDescent="0.3">
      <c r="A19" s="2" t="s">
        <v>43</v>
      </c>
      <c r="B19" s="2" t="s">
        <v>44</v>
      </c>
      <c r="C19" s="20">
        <v>3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L19" s="4"/>
      <c r="N19" s="4"/>
      <c r="O19" s="4"/>
      <c r="P19" s="4"/>
    </row>
    <row r="20" spans="1:16" x14ac:dyDescent="0.3">
      <c r="A20" s="2" t="s">
        <v>45</v>
      </c>
      <c r="B20" s="2" t="s">
        <v>46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L20" s="4"/>
      <c r="N20" s="4"/>
      <c r="O20" s="4"/>
      <c r="P20" s="4"/>
    </row>
    <row r="21" spans="1:16" x14ac:dyDescent="0.3">
      <c r="A21" s="2" t="s">
        <v>47</v>
      </c>
      <c r="B21" s="2" t="s">
        <v>48</v>
      </c>
      <c r="C21" s="20">
        <v>3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L21" s="4"/>
      <c r="N21" s="4"/>
      <c r="O21" s="4"/>
      <c r="P21" s="4"/>
    </row>
    <row r="22" spans="1:16" x14ac:dyDescent="0.3">
      <c r="A22" s="2" t="s">
        <v>49</v>
      </c>
      <c r="B22" s="2" t="s">
        <v>50</v>
      </c>
      <c r="C22" s="20">
        <v>3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L22" s="4"/>
      <c r="N22" s="4"/>
      <c r="O22" s="4"/>
      <c r="P22" s="4"/>
    </row>
    <row r="23" spans="1:16" x14ac:dyDescent="0.3">
      <c r="A23" s="2" t="s">
        <v>51</v>
      </c>
      <c r="B23" s="6" t="s">
        <v>481</v>
      </c>
      <c r="C23" s="20">
        <v>0</v>
      </c>
      <c r="D23" s="20">
        <v>12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L23" s="4"/>
      <c r="N23" s="4"/>
      <c r="O23" s="4"/>
      <c r="P23" s="4"/>
    </row>
    <row r="24" spans="1:16" x14ac:dyDescent="0.3">
      <c r="A24" s="2" t="s">
        <v>53</v>
      </c>
      <c r="B24" s="2" t="s">
        <v>54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L24" s="4"/>
      <c r="N24" s="4"/>
      <c r="O24" s="4"/>
      <c r="P24" s="4"/>
    </row>
    <row r="25" spans="1:16" x14ac:dyDescent="0.3">
      <c r="A25" s="2" t="s">
        <v>55</v>
      </c>
      <c r="B25" s="2" t="s">
        <v>56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L25" s="4"/>
      <c r="N25" s="4"/>
      <c r="O25" s="4"/>
      <c r="P25" s="4"/>
    </row>
    <row r="26" spans="1:16" x14ac:dyDescent="0.3">
      <c r="A26" s="2" t="s">
        <v>57</v>
      </c>
      <c r="B26" s="2" t="s">
        <v>58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L26" s="4"/>
      <c r="N26" s="4"/>
      <c r="O26" s="4"/>
      <c r="P26" s="4"/>
    </row>
    <row r="27" spans="1:16" x14ac:dyDescent="0.3">
      <c r="A27" s="2" t="s">
        <v>59</v>
      </c>
      <c r="B27" s="2" t="s">
        <v>60</v>
      </c>
      <c r="C27" s="20">
        <v>0</v>
      </c>
      <c r="D27" s="20">
        <v>13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L27" s="4"/>
      <c r="N27" s="4"/>
      <c r="O27" s="4"/>
      <c r="P27" s="4"/>
    </row>
    <row r="28" spans="1:16" x14ac:dyDescent="0.3">
      <c r="A28" s="2" t="s">
        <v>61</v>
      </c>
      <c r="B28" s="2" t="s">
        <v>62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L28" s="4"/>
      <c r="N28" s="4"/>
      <c r="O28" s="4"/>
      <c r="P28" s="4"/>
    </row>
    <row r="29" spans="1:16" x14ac:dyDescent="0.3">
      <c r="A29" s="2" t="s">
        <v>63</v>
      </c>
      <c r="B29" s="2" t="s">
        <v>64</v>
      </c>
      <c r="C29" s="20">
        <v>0</v>
      </c>
      <c r="D29" s="20">
        <v>0</v>
      </c>
      <c r="E29" s="20">
        <v>0</v>
      </c>
      <c r="F29" s="20">
        <v>10</v>
      </c>
      <c r="G29" s="20">
        <v>0</v>
      </c>
      <c r="H29" s="20">
        <v>0</v>
      </c>
      <c r="I29" s="20">
        <v>0</v>
      </c>
      <c r="L29" s="4"/>
      <c r="N29" s="4"/>
      <c r="O29" s="4"/>
      <c r="P29" s="4"/>
    </row>
    <row r="30" spans="1:16" x14ac:dyDescent="0.3">
      <c r="A30" s="2" t="s">
        <v>65</v>
      </c>
      <c r="B30" s="2" t="s">
        <v>66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</row>
    <row r="31" spans="1:16" x14ac:dyDescent="0.3">
      <c r="A31" s="2" t="s">
        <v>67</v>
      </c>
      <c r="B31" s="2" t="s">
        <v>68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</row>
    <row r="32" spans="1:16" x14ac:dyDescent="0.3">
      <c r="A32" s="2" t="s">
        <v>69</v>
      </c>
      <c r="B32" s="2" t="s">
        <v>70</v>
      </c>
      <c r="C32" s="20">
        <v>20</v>
      </c>
      <c r="D32" s="20">
        <v>0</v>
      </c>
      <c r="E32" s="20">
        <v>0</v>
      </c>
      <c r="F32" s="20">
        <v>0</v>
      </c>
      <c r="G32" s="20">
        <v>2</v>
      </c>
      <c r="H32" s="20">
        <v>2</v>
      </c>
      <c r="I32" s="20">
        <v>2</v>
      </c>
    </row>
    <row r="33" spans="1:15" x14ac:dyDescent="0.3">
      <c r="A33" s="2" t="s">
        <v>71</v>
      </c>
      <c r="B33" s="2" t="s">
        <v>72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</row>
    <row r="34" spans="1:15" x14ac:dyDescent="0.3">
      <c r="A34" s="2" t="s">
        <v>73</v>
      </c>
      <c r="B34" s="2" t="s">
        <v>74</v>
      </c>
      <c r="C34" s="20">
        <v>0</v>
      </c>
      <c r="D34" s="20">
        <v>3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</row>
    <row r="35" spans="1:15" x14ac:dyDescent="0.3">
      <c r="A35" s="2" t="s">
        <v>75</v>
      </c>
      <c r="B35" s="2" t="s">
        <v>76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</row>
    <row r="36" spans="1:15" x14ac:dyDescent="0.3">
      <c r="A36" s="2" t="s">
        <v>77</v>
      </c>
      <c r="B36" s="2" t="s">
        <v>78</v>
      </c>
      <c r="C36" s="20">
        <v>0</v>
      </c>
      <c r="D36" s="20">
        <v>3</v>
      </c>
      <c r="E36" s="20">
        <v>0</v>
      </c>
      <c r="F36" s="20">
        <v>5</v>
      </c>
      <c r="G36" s="20">
        <v>0</v>
      </c>
      <c r="H36" s="20">
        <v>0</v>
      </c>
      <c r="I36" s="20">
        <v>0</v>
      </c>
      <c r="L36" s="4"/>
      <c r="N36" s="4"/>
      <c r="O36" s="4"/>
    </row>
    <row r="37" spans="1:15" x14ac:dyDescent="0.3">
      <c r="A37" s="2" t="s">
        <v>79</v>
      </c>
      <c r="B37" s="2" t="s">
        <v>80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</row>
    <row r="38" spans="1:15" x14ac:dyDescent="0.3">
      <c r="A38" s="2" t="s">
        <v>81</v>
      </c>
      <c r="B38" s="2" t="s">
        <v>82</v>
      </c>
      <c r="C38" s="20">
        <v>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</row>
    <row r="39" spans="1:15" x14ac:dyDescent="0.3">
      <c r="A39" s="2" t="s">
        <v>83</v>
      </c>
      <c r="B39" s="2" t="s">
        <v>84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</row>
    <row r="40" spans="1:15" x14ac:dyDescent="0.3">
      <c r="A40" s="2" t="s">
        <v>85</v>
      </c>
      <c r="B40" s="2" t="s">
        <v>86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</row>
    <row r="41" spans="1:15" x14ac:dyDescent="0.3">
      <c r="A41" s="2" t="s">
        <v>87</v>
      </c>
      <c r="B41" s="2" t="s">
        <v>88</v>
      </c>
      <c r="C41" s="20">
        <v>0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</row>
    <row r="42" spans="1:15" x14ac:dyDescent="0.3">
      <c r="A42" s="2" t="s">
        <v>89</v>
      </c>
      <c r="B42" s="2" t="s">
        <v>90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</row>
    <row r="43" spans="1:15" x14ac:dyDescent="0.3">
      <c r="A43" s="2" t="s">
        <v>91</v>
      </c>
      <c r="B43" s="2" t="s">
        <v>92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</row>
    <row r="44" spans="1:15" x14ac:dyDescent="0.3">
      <c r="A44" s="2" t="s">
        <v>93</v>
      </c>
      <c r="B44" s="2" t="s">
        <v>94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</row>
    <row r="45" spans="1:15" x14ac:dyDescent="0.3">
      <c r="A45" s="2" t="s">
        <v>95</v>
      </c>
      <c r="B45" s="2" t="s">
        <v>96</v>
      </c>
      <c r="C45" s="20">
        <v>0</v>
      </c>
      <c r="D45" s="20">
        <v>0</v>
      </c>
      <c r="E45" s="20">
        <v>0</v>
      </c>
      <c r="F45" s="20">
        <v>3</v>
      </c>
      <c r="G45" s="20">
        <v>0</v>
      </c>
      <c r="H45" s="20">
        <v>0</v>
      </c>
      <c r="I45" s="20">
        <v>0</v>
      </c>
    </row>
    <row r="46" spans="1:15" x14ac:dyDescent="0.3">
      <c r="A46" s="2" t="s">
        <v>97</v>
      </c>
      <c r="B46" s="2" t="s">
        <v>98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</row>
    <row r="47" spans="1:15" x14ac:dyDescent="0.3">
      <c r="A47" s="2" t="s">
        <v>99</v>
      </c>
      <c r="B47" s="2" t="s">
        <v>100</v>
      </c>
      <c r="C47" s="20">
        <v>2</v>
      </c>
      <c r="D47" s="20">
        <v>3</v>
      </c>
      <c r="E47" s="20">
        <v>0</v>
      </c>
      <c r="F47" s="20">
        <v>0</v>
      </c>
      <c r="G47" s="20">
        <v>0</v>
      </c>
      <c r="H47" s="20">
        <v>2</v>
      </c>
      <c r="I47" s="20">
        <v>0</v>
      </c>
    </row>
    <row r="48" spans="1:15" x14ac:dyDescent="0.3">
      <c r="A48" s="2" t="s">
        <v>101</v>
      </c>
      <c r="B48" s="2" t="s">
        <v>102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</row>
    <row r="49" spans="1:9" x14ac:dyDescent="0.3">
      <c r="A49" s="2" t="s">
        <v>103</v>
      </c>
      <c r="B49" s="2" t="s">
        <v>104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</row>
    <row r="50" spans="1:9" x14ac:dyDescent="0.3">
      <c r="A50" s="2" t="s">
        <v>105</v>
      </c>
      <c r="B50" s="2" t="s">
        <v>106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</row>
    <row r="51" spans="1:9" x14ac:dyDescent="0.3">
      <c r="A51" s="2" t="s">
        <v>107</v>
      </c>
      <c r="B51" s="2" t="s">
        <v>108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</row>
    <row r="52" spans="1:9" x14ac:dyDescent="0.3">
      <c r="A52" s="2" t="s">
        <v>109</v>
      </c>
      <c r="B52" s="2" t="s">
        <v>110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</row>
    <row r="53" spans="1:9" x14ac:dyDescent="0.3">
      <c r="A53" s="2" t="s">
        <v>111</v>
      </c>
      <c r="B53" s="2" t="s">
        <v>112</v>
      </c>
      <c r="C53" s="20">
        <v>2</v>
      </c>
      <c r="D53" s="20">
        <v>2</v>
      </c>
      <c r="E53" s="20">
        <v>5</v>
      </c>
      <c r="F53" s="20">
        <v>2</v>
      </c>
      <c r="G53" s="20">
        <v>2</v>
      </c>
      <c r="H53" s="20">
        <v>2</v>
      </c>
      <c r="I53" s="20">
        <v>0</v>
      </c>
    </row>
    <row r="54" spans="1:9" x14ac:dyDescent="0.3">
      <c r="A54" s="2" t="s">
        <v>113</v>
      </c>
      <c r="B54" s="2" t="s">
        <v>114</v>
      </c>
      <c r="C54" s="20">
        <v>0</v>
      </c>
      <c r="D54" s="20">
        <v>0</v>
      </c>
      <c r="E54" s="20">
        <v>3</v>
      </c>
      <c r="F54" s="20">
        <v>0</v>
      </c>
      <c r="G54" s="20">
        <v>0</v>
      </c>
      <c r="H54" s="20">
        <v>0</v>
      </c>
      <c r="I54" s="20">
        <v>0</v>
      </c>
    </row>
    <row r="55" spans="1:9" x14ac:dyDescent="0.3">
      <c r="A55" s="2" t="s">
        <v>115</v>
      </c>
      <c r="B55" s="2" t="s">
        <v>116</v>
      </c>
      <c r="C55" s="20">
        <v>0</v>
      </c>
      <c r="D55" s="20">
        <v>0</v>
      </c>
      <c r="E55" s="20">
        <v>3</v>
      </c>
      <c r="F55" s="20">
        <v>0</v>
      </c>
      <c r="G55" s="20">
        <v>0</v>
      </c>
      <c r="H55" s="20">
        <v>0</v>
      </c>
      <c r="I55" s="20">
        <v>0</v>
      </c>
    </row>
    <row r="56" spans="1:9" x14ac:dyDescent="0.3">
      <c r="A56" s="2" t="s">
        <v>117</v>
      </c>
      <c r="B56" s="2" t="s">
        <v>118</v>
      </c>
      <c r="C56" s="20">
        <v>0</v>
      </c>
      <c r="D56" s="20">
        <v>0</v>
      </c>
      <c r="E56" s="20">
        <v>3</v>
      </c>
      <c r="F56" s="20">
        <v>0</v>
      </c>
      <c r="G56" s="20">
        <v>0</v>
      </c>
      <c r="H56" s="20">
        <v>0</v>
      </c>
      <c r="I56" s="20">
        <v>0</v>
      </c>
    </row>
    <row r="57" spans="1:9" x14ac:dyDescent="0.3">
      <c r="A57" s="2" t="s">
        <v>119</v>
      </c>
      <c r="B57" s="2" t="s">
        <v>120</v>
      </c>
      <c r="C57" s="20">
        <v>0</v>
      </c>
      <c r="D57" s="20">
        <v>0</v>
      </c>
      <c r="E57" s="20">
        <v>3</v>
      </c>
      <c r="F57" s="20">
        <v>0</v>
      </c>
      <c r="G57" s="20">
        <v>0</v>
      </c>
      <c r="H57" s="20">
        <v>0</v>
      </c>
      <c r="I57" s="20">
        <v>0</v>
      </c>
    </row>
    <row r="58" spans="1:9" x14ac:dyDescent="0.3">
      <c r="A58" s="2" t="s">
        <v>121</v>
      </c>
      <c r="B58" s="2" t="s">
        <v>122</v>
      </c>
      <c r="C58" s="20">
        <v>0</v>
      </c>
      <c r="D58" s="20">
        <v>0</v>
      </c>
      <c r="E58" s="20">
        <v>3</v>
      </c>
      <c r="F58" s="20">
        <v>0</v>
      </c>
      <c r="G58" s="20">
        <v>0</v>
      </c>
      <c r="H58" s="20">
        <v>0</v>
      </c>
      <c r="I58" s="20">
        <v>0</v>
      </c>
    </row>
    <row r="59" spans="1:9" x14ac:dyDescent="0.3">
      <c r="A59" s="2" t="s">
        <v>123</v>
      </c>
      <c r="B59" s="2" t="s">
        <v>124</v>
      </c>
      <c r="C59" s="20">
        <v>0</v>
      </c>
      <c r="D59" s="20">
        <v>0</v>
      </c>
      <c r="E59" s="20">
        <v>3</v>
      </c>
      <c r="F59" s="20">
        <v>0</v>
      </c>
      <c r="G59" s="20">
        <v>0</v>
      </c>
      <c r="H59" s="20">
        <v>0</v>
      </c>
      <c r="I59" s="20">
        <v>0</v>
      </c>
    </row>
    <row r="60" spans="1:9" x14ac:dyDescent="0.3">
      <c r="A60" s="2" t="s">
        <v>125</v>
      </c>
      <c r="B60" s="2" t="s">
        <v>126</v>
      </c>
      <c r="C60" s="20">
        <v>0</v>
      </c>
      <c r="D60" s="20">
        <v>0</v>
      </c>
      <c r="E60" s="20">
        <v>3</v>
      </c>
      <c r="F60" s="20">
        <v>0</v>
      </c>
      <c r="G60" s="20">
        <v>0</v>
      </c>
      <c r="H60" s="20">
        <v>0</v>
      </c>
      <c r="I60" s="20">
        <v>0</v>
      </c>
    </row>
    <row r="61" spans="1:9" x14ac:dyDescent="0.3">
      <c r="A61" s="2" t="s">
        <v>127</v>
      </c>
      <c r="B61" s="2" t="s">
        <v>128</v>
      </c>
      <c r="C61" s="20">
        <v>0</v>
      </c>
      <c r="D61" s="20">
        <v>0</v>
      </c>
      <c r="E61" s="20">
        <v>0</v>
      </c>
      <c r="F61" s="20">
        <v>5</v>
      </c>
      <c r="G61" s="20">
        <v>4</v>
      </c>
      <c r="H61" s="20">
        <v>0</v>
      </c>
      <c r="I61" s="20">
        <v>0</v>
      </c>
    </row>
    <row r="62" spans="1:9" x14ac:dyDescent="0.3">
      <c r="A62" s="5" t="s">
        <v>129</v>
      </c>
      <c r="B62" s="2" t="s">
        <v>130</v>
      </c>
      <c r="C62" s="20">
        <v>0</v>
      </c>
      <c r="D62" s="20">
        <v>18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</row>
    <row r="63" spans="1:9" x14ac:dyDescent="0.3">
      <c r="A63" s="6" t="s">
        <v>131</v>
      </c>
      <c r="B63" s="2" t="s">
        <v>132</v>
      </c>
      <c r="C63" s="20">
        <v>0</v>
      </c>
      <c r="D63" s="20">
        <v>18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</row>
    <row r="64" spans="1:9" x14ac:dyDescent="0.3">
      <c r="A64" s="2" t="s">
        <v>133</v>
      </c>
      <c r="B64" s="2" t="s">
        <v>134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</row>
    <row r="65" spans="1:9" x14ac:dyDescent="0.3">
      <c r="A65" s="2" t="s">
        <v>135</v>
      </c>
      <c r="B65" s="2" t="s">
        <v>136</v>
      </c>
      <c r="C65" s="20">
        <v>5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</row>
    <row r="66" spans="1:9" x14ac:dyDescent="0.3">
      <c r="A66" s="2" t="s">
        <v>137</v>
      </c>
      <c r="B66" s="2" t="s">
        <v>138</v>
      </c>
      <c r="C66" s="20">
        <v>0</v>
      </c>
      <c r="D66" s="20">
        <v>1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</row>
    <row r="67" spans="1:9" x14ac:dyDescent="0.3">
      <c r="A67" s="2" t="s">
        <v>139</v>
      </c>
      <c r="B67" s="2" t="s">
        <v>140</v>
      </c>
      <c r="C67" s="20">
        <v>0</v>
      </c>
      <c r="D67" s="20">
        <v>1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</row>
    <row r="68" spans="1:9" x14ac:dyDescent="0.3">
      <c r="A68" s="2" t="s">
        <v>141</v>
      </c>
      <c r="B68" s="2" t="s">
        <v>142</v>
      </c>
      <c r="C68" s="20">
        <v>0</v>
      </c>
      <c r="D68" s="20">
        <v>1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</row>
    <row r="69" spans="1:9" x14ac:dyDescent="0.3">
      <c r="A69" s="2" t="s">
        <v>143</v>
      </c>
      <c r="B69" s="2" t="s">
        <v>144</v>
      </c>
      <c r="C69" s="20">
        <v>0</v>
      </c>
      <c r="D69" s="20">
        <v>1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</row>
    <row r="70" spans="1:9" x14ac:dyDescent="0.3">
      <c r="A70" s="2" t="s">
        <v>145</v>
      </c>
      <c r="B70" s="2" t="s">
        <v>146</v>
      </c>
      <c r="C70" s="20">
        <v>0</v>
      </c>
      <c r="D70" s="20">
        <v>1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</row>
    <row r="71" spans="1:9" x14ac:dyDescent="0.3">
      <c r="A71" s="2" t="s">
        <v>147</v>
      </c>
      <c r="B71" s="2" t="s">
        <v>148</v>
      </c>
      <c r="C71" s="20">
        <v>0</v>
      </c>
      <c r="D71" s="20">
        <v>13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</row>
    <row r="72" spans="1:9" x14ac:dyDescent="0.3">
      <c r="A72" s="2" t="s">
        <v>149</v>
      </c>
      <c r="B72" s="2" t="s">
        <v>150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</row>
    <row r="73" spans="1:9" x14ac:dyDescent="0.3">
      <c r="A73" s="2" t="s">
        <v>151</v>
      </c>
      <c r="B73" s="2" t="s">
        <v>152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</row>
    <row r="74" spans="1:9" x14ac:dyDescent="0.3">
      <c r="A74" s="2" t="s">
        <v>153</v>
      </c>
      <c r="B74" s="2" t="s">
        <v>154</v>
      </c>
      <c r="C74" s="20">
        <v>0</v>
      </c>
      <c r="D74" s="20">
        <v>12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</row>
    <row r="75" spans="1:9" x14ac:dyDescent="0.3">
      <c r="A75" s="2" t="s">
        <v>155</v>
      </c>
      <c r="B75" s="2" t="s">
        <v>156</v>
      </c>
      <c r="C75" s="20">
        <v>0</v>
      </c>
      <c r="D75" s="20">
        <v>0</v>
      </c>
      <c r="E75" s="20">
        <v>0</v>
      </c>
      <c r="F75" s="20">
        <v>20</v>
      </c>
      <c r="G75" s="20">
        <v>0</v>
      </c>
      <c r="H75" s="20">
        <v>0</v>
      </c>
      <c r="I75" s="20">
        <v>0</v>
      </c>
    </row>
    <row r="76" spans="1:9" x14ac:dyDescent="0.3">
      <c r="A76" s="2" t="s">
        <v>157</v>
      </c>
      <c r="B76" s="2" t="s">
        <v>158</v>
      </c>
      <c r="C76" s="20">
        <v>6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</row>
    <row r="77" spans="1:9" x14ac:dyDescent="0.3">
      <c r="A77" s="2" t="s">
        <v>159</v>
      </c>
      <c r="B77" s="2" t="s">
        <v>160</v>
      </c>
      <c r="C77" s="20">
        <v>6</v>
      </c>
      <c r="D77" s="20">
        <v>0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</row>
    <row r="78" spans="1:9" x14ac:dyDescent="0.3">
      <c r="A78" s="2" t="s">
        <v>161</v>
      </c>
      <c r="B78" s="2" t="s">
        <v>162</v>
      </c>
      <c r="C78" s="20">
        <v>0</v>
      </c>
      <c r="D78" s="20">
        <v>0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</row>
    <row r="79" spans="1:9" x14ac:dyDescent="0.3">
      <c r="A79" s="2" t="s">
        <v>163</v>
      </c>
      <c r="B79" s="2" t="s">
        <v>164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</row>
    <row r="80" spans="1:9" x14ac:dyDescent="0.3">
      <c r="B80" s="2" t="s">
        <v>489</v>
      </c>
      <c r="C80" s="20">
        <v>0</v>
      </c>
      <c r="D80" s="20">
        <v>2</v>
      </c>
      <c r="E80" s="20">
        <v>2</v>
      </c>
      <c r="F80" s="20">
        <v>0</v>
      </c>
      <c r="G80" s="20">
        <v>0</v>
      </c>
      <c r="H80" s="20">
        <v>0</v>
      </c>
      <c r="I80" s="20">
        <v>2</v>
      </c>
    </row>
    <row r="81" spans="1:9" x14ac:dyDescent="0.3">
      <c r="A81" s="2" t="s">
        <v>165</v>
      </c>
      <c r="B81" s="2" t="s">
        <v>166</v>
      </c>
      <c r="C81" s="20">
        <v>2</v>
      </c>
      <c r="D81" s="20">
        <v>0</v>
      </c>
      <c r="E81" s="20">
        <v>0</v>
      </c>
      <c r="F81" s="20">
        <v>0</v>
      </c>
      <c r="G81" s="20">
        <v>2</v>
      </c>
      <c r="H81" s="20">
        <v>2</v>
      </c>
      <c r="I81" s="20">
        <v>0</v>
      </c>
    </row>
    <row r="82" spans="1:9" x14ac:dyDescent="0.3">
      <c r="A82" s="2" t="s">
        <v>167</v>
      </c>
      <c r="B82" s="2" t="s">
        <v>168</v>
      </c>
      <c r="C82" s="20">
        <v>0</v>
      </c>
      <c r="D82" s="20">
        <v>0</v>
      </c>
      <c r="E82" s="20">
        <v>2</v>
      </c>
      <c r="F82" s="20">
        <v>0</v>
      </c>
      <c r="G82" s="20">
        <v>0</v>
      </c>
      <c r="H82" s="20">
        <v>0</v>
      </c>
      <c r="I82" s="20">
        <v>0</v>
      </c>
    </row>
    <row r="83" spans="1:9" x14ac:dyDescent="0.3">
      <c r="A83" s="2" t="s">
        <v>169</v>
      </c>
      <c r="B83" s="2" t="s">
        <v>170</v>
      </c>
      <c r="C83" s="20">
        <v>0</v>
      </c>
      <c r="D83" s="20">
        <v>0</v>
      </c>
      <c r="E83" s="20">
        <v>2</v>
      </c>
      <c r="F83" s="20">
        <v>0</v>
      </c>
      <c r="G83" s="20">
        <v>0</v>
      </c>
      <c r="H83" s="20">
        <v>0</v>
      </c>
      <c r="I83" s="20">
        <v>0</v>
      </c>
    </row>
    <row r="84" spans="1:9" x14ac:dyDescent="0.3">
      <c r="A84" s="2" t="s">
        <v>171</v>
      </c>
      <c r="B84" s="2" t="s">
        <v>172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</row>
    <row r="85" spans="1:9" x14ac:dyDescent="0.3">
      <c r="A85" s="2" t="s">
        <v>173</v>
      </c>
      <c r="B85" s="2" t="s">
        <v>174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</row>
    <row r="86" spans="1:9" x14ac:dyDescent="0.3">
      <c r="A86" s="2" t="s">
        <v>175</v>
      </c>
      <c r="B86" s="2" t="s">
        <v>176</v>
      </c>
      <c r="C86" s="20">
        <v>0</v>
      </c>
      <c r="D86" s="20">
        <v>0</v>
      </c>
      <c r="E86" s="20">
        <v>2</v>
      </c>
      <c r="F86" s="20">
        <v>0</v>
      </c>
      <c r="G86" s="20">
        <v>0</v>
      </c>
      <c r="H86" s="20">
        <v>0</v>
      </c>
      <c r="I86" s="20">
        <v>0</v>
      </c>
    </row>
    <row r="87" spans="1:9" x14ac:dyDescent="0.3">
      <c r="A87" s="2" t="s">
        <v>177</v>
      </c>
      <c r="B87" s="2" t="s">
        <v>178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</row>
    <row r="88" spans="1:9" x14ac:dyDescent="0.3">
      <c r="A88" s="2" t="s">
        <v>179</v>
      </c>
      <c r="B88" s="2" t="s">
        <v>180</v>
      </c>
      <c r="C88" s="20">
        <v>0</v>
      </c>
      <c r="D88" s="20">
        <v>0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</row>
    <row r="89" spans="1:9" x14ac:dyDescent="0.3">
      <c r="A89" s="2" t="s">
        <v>181</v>
      </c>
      <c r="B89" s="2" t="s">
        <v>182</v>
      </c>
      <c r="C89" s="20">
        <v>0</v>
      </c>
      <c r="D89" s="20">
        <v>0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</row>
    <row r="90" spans="1:9" x14ac:dyDescent="0.3">
      <c r="A90" s="2" t="s">
        <v>183</v>
      </c>
      <c r="B90" s="2" t="s">
        <v>184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</row>
    <row r="91" spans="1:9" x14ac:dyDescent="0.3">
      <c r="A91" s="2" t="s">
        <v>185</v>
      </c>
      <c r="B91" s="2" t="s">
        <v>186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</row>
    <row r="92" spans="1:9" x14ac:dyDescent="0.3">
      <c r="A92" s="2" t="s">
        <v>187</v>
      </c>
      <c r="B92" s="2" t="s">
        <v>188</v>
      </c>
      <c r="C92" s="20">
        <v>0</v>
      </c>
      <c r="D92" s="20">
        <v>0</v>
      </c>
      <c r="E92" s="20">
        <v>3</v>
      </c>
      <c r="F92" s="20">
        <v>0</v>
      </c>
      <c r="G92" s="20">
        <v>0</v>
      </c>
      <c r="H92" s="20">
        <v>0</v>
      </c>
      <c r="I92" s="20">
        <v>0</v>
      </c>
    </row>
    <row r="93" spans="1:9" x14ac:dyDescent="0.3">
      <c r="A93" s="2" t="s">
        <v>189</v>
      </c>
      <c r="B93" s="2" t="s">
        <v>190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</row>
    <row r="94" spans="1:9" x14ac:dyDescent="0.3">
      <c r="A94" s="2" t="s">
        <v>191</v>
      </c>
      <c r="B94" s="2" t="s">
        <v>192</v>
      </c>
      <c r="C94" s="20">
        <v>0</v>
      </c>
      <c r="D94" s="20">
        <v>0</v>
      </c>
      <c r="E94" s="20">
        <v>0</v>
      </c>
      <c r="F94" s="20">
        <v>6</v>
      </c>
      <c r="G94" s="20">
        <v>0</v>
      </c>
      <c r="H94" s="20">
        <v>0</v>
      </c>
      <c r="I94" s="20">
        <v>0</v>
      </c>
    </row>
    <row r="95" spans="1:9" x14ac:dyDescent="0.3">
      <c r="A95" s="2" t="s">
        <v>193</v>
      </c>
      <c r="B95" s="2" t="s">
        <v>194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</row>
    <row r="96" spans="1:9" x14ac:dyDescent="0.3">
      <c r="A96" s="2" t="s">
        <v>195</v>
      </c>
      <c r="B96" s="2" t="s">
        <v>196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</row>
    <row r="97" spans="1:9" x14ac:dyDescent="0.3">
      <c r="A97" s="2" t="s">
        <v>197</v>
      </c>
      <c r="B97" s="2" t="s">
        <v>198</v>
      </c>
      <c r="C97" s="20">
        <v>0</v>
      </c>
      <c r="D97" s="20">
        <v>20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</row>
    <row r="98" spans="1:9" x14ac:dyDescent="0.3">
      <c r="A98" s="2" t="s">
        <v>199</v>
      </c>
      <c r="B98" s="2" t="s">
        <v>200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</row>
    <row r="99" spans="1:9" x14ac:dyDescent="0.3">
      <c r="A99" s="2" t="s">
        <v>201</v>
      </c>
      <c r="B99" s="2" t="s">
        <v>202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</row>
    <row r="100" spans="1:9" x14ac:dyDescent="0.3">
      <c r="A100" s="2" t="s">
        <v>203</v>
      </c>
      <c r="B100" s="2" t="s">
        <v>204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</row>
    <row r="101" spans="1:9" x14ac:dyDescent="0.3">
      <c r="A101" s="2" t="s">
        <v>205</v>
      </c>
      <c r="B101" s="2" t="s">
        <v>206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</row>
    <row r="102" spans="1:9" x14ac:dyDescent="0.3">
      <c r="A102" s="2" t="s">
        <v>207</v>
      </c>
      <c r="B102" s="2" t="s">
        <v>208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10</v>
      </c>
    </row>
    <row r="103" spans="1:9" x14ac:dyDescent="0.3">
      <c r="A103" s="7" t="s">
        <v>209</v>
      </c>
      <c r="B103" s="6" t="s">
        <v>210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</row>
    <row r="104" spans="1:9" x14ac:dyDescent="0.3">
      <c r="A104" s="7" t="s">
        <v>211</v>
      </c>
      <c r="B104" s="6" t="s">
        <v>212</v>
      </c>
      <c r="C104" s="20">
        <v>0</v>
      </c>
      <c r="D104" s="20">
        <v>0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</row>
    <row r="105" spans="1:9" x14ac:dyDescent="0.3">
      <c r="A105" s="2" t="s">
        <v>213</v>
      </c>
      <c r="B105" s="2" t="s">
        <v>214</v>
      </c>
      <c r="C105" s="20">
        <v>0</v>
      </c>
      <c r="D105" s="20">
        <v>0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</row>
    <row r="106" spans="1:9" x14ac:dyDescent="0.3">
      <c r="A106" s="2" t="s">
        <v>215</v>
      </c>
      <c r="B106" s="2" t="s">
        <v>216</v>
      </c>
      <c r="C106" s="20">
        <v>0</v>
      </c>
      <c r="D106" s="20">
        <v>2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</row>
    <row r="107" spans="1:9" x14ac:dyDescent="0.3">
      <c r="A107" s="2" t="s">
        <v>217</v>
      </c>
      <c r="B107" s="2" t="s">
        <v>218</v>
      </c>
      <c r="C107" s="20">
        <v>0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</row>
    <row r="108" spans="1:9" x14ac:dyDescent="0.3">
      <c r="A108" s="2" t="s">
        <v>219</v>
      </c>
      <c r="B108" s="2" t="s">
        <v>220</v>
      </c>
      <c r="C108" s="20">
        <v>0</v>
      </c>
      <c r="D108" s="20">
        <v>0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</row>
    <row r="109" spans="1:9" x14ac:dyDescent="0.3">
      <c r="A109" s="2" t="s">
        <v>221</v>
      </c>
      <c r="B109" s="2" t="s">
        <v>222</v>
      </c>
      <c r="C109" s="20">
        <v>0</v>
      </c>
      <c r="D109" s="20">
        <v>0</v>
      </c>
      <c r="E109" s="20">
        <v>0</v>
      </c>
      <c r="F109" s="20">
        <v>0</v>
      </c>
      <c r="G109" s="20">
        <v>0</v>
      </c>
      <c r="H109" s="20">
        <v>0</v>
      </c>
      <c r="I109" s="20">
        <v>0</v>
      </c>
    </row>
    <row r="110" spans="1:9" x14ac:dyDescent="0.3">
      <c r="A110" s="2" t="s">
        <v>223</v>
      </c>
      <c r="B110" s="2" t="s">
        <v>224</v>
      </c>
      <c r="C110" s="20">
        <v>0</v>
      </c>
      <c r="D110" s="20">
        <v>18</v>
      </c>
      <c r="E110" s="20">
        <v>0</v>
      </c>
      <c r="F110" s="20">
        <v>5</v>
      </c>
      <c r="G110" s="20">
        <v>0</v>
      </c>
      <c r="H110" s="20">
        <v>0</v>
      </c>
      <c r="I110" s="20">
        <v>0</v>
      </c>
    </row>
    <row r="111" spans="1:9" x14ac:dyDescent="0.3">
      <c r="A111" s="2" t="s">
        <v>225</v>
      </c>
      <c r="B111" s="2" t="s">
        <v>226</v>
      </c>
      <c r="C111" s="20">
        <v>0</v>
      </c>
      <c r="D111" s="20">
        <v>0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</row>
    <row r="112" spans="1:9" x14ac:dyDescent="0.3">
      <c r="A112" s="2" t="s">
        <v>227</v>
      </c>
      <c r="B112" s="2" t="s">
        <v>228</v>
      </c>
      <c r="C112" s="20">
        <v>0</v>
      </c>
      <c r="D112" s="20">
        <v>0</v>
      </c>
      <c r="E112" s="20">
        <v>0</v>
      </c>
      <c r="F112" s="20">
        <v>0</v>
      </c>
      <c r="G112" s="20">
        <v>0</v>
      </c>
      <c r="H112" s="20">
        <v>0</v>
      </c>
      <c r="I112" s="20">
        <v>0</v>
      </c>
    </row>
    <row r="113" spans="1:9" x14ac:dyDescent="0.3">
      <c r="A113" s="2" t="s">
        <v>229</v>
      </c>
      <c r="B113" s="2" t="s">
        <v>230</v>
      </c>
      <c r="C113" s="20">
        <v>0</v>
      </c>
      <c r="D113" s="20">
        <v>2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</row>
    <row r="114" spans="1:9" x14ac:dyDescent="0.3">
      <c r="A114" s="2" t="s">
        <v>231</v>
      </c>
      <c r="B114" s="2" t="s">
        <v>232</v>
      </c>
      <c r="C114" s="20">
        <v>0</v>
      </c>
      <c r="D114" s="20">
        <v>2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</row>
    <row r="115" spans="1:9" x14ac:dyDescent="0.3">
      <c r="A115" s="2" t="s">
        <v>233</v>
      </c>
      <c r="B115" s="2" t="s">
        <v>234</v>
      </c>
      <c r="C115" s="20">
        <v>0</v>
      </c>
      <c r="D115" s="20">
        <v>2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</row>
    <row r="116" spans="1:9" x14ac:dyDescent="0.3">
      <c r="A116" s="2" t="s">
        <v>235</v>
      </c>
      <c r="B116" s="2" t="s">
        <v>236</v>
      </c>
      <c r="C116" s="20">
        <v>0</v>
      </c>
      <c r="D116" s="20">
        <v>2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</row>
    <row r="117" spans="1:9" x14ac:dyDescent="0.3">
      <c r="A117" s="2" t="s">
        <v>237</v>
      </c>
      <c r="B117" s="2" t="s">
        <v>238</v>
      </c>
      <c r="C117" s="20">
        <v>0</v>
      </c>
      <c r="D117" s="20">
        <v>2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</row>
    <row r="118" spans="1:9" x14ac:dyDescent="0.3">
      <c r="A118" s="2" t="s">
        <v>239</v>
      </c>
      <c r="B118" s="2" t="s">
        <v>240</v>
      </c>
      <c r="C118" s="20">
        <v>0</v>
      </c>
      <c r="D118" s="20">
        <v>2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</row>
    <row r="119" spans="1:9" x14ac:dyDescent="0.3">
      <c r="A119" s="2" t="s">
        <v>241</v>
      </c>
      <c r="B119" s="2" t="s">
        <v>242</v>
      </c>
      <c r="C119" s="20">
        <v>0</v>
      </c>
      <c r="D119" s="20">
        <v>2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</row>
    <row r="120" spans="1:9" x14ac:dyDescent="0.3">
      <c r="A120" s="2" t="s">
        <v>243</v>
      </c>
      <c r="B120" s="2" t="s">
        <v>244</v>
      </c>
      <c r="C120" s="20">
        <v>0</v>
      </c>
      <c r="D120" s="20">
        <v>0</v>
      </c>
      <c r="E120" s="20">
        <v>0</v>
      </c>
      <c r="F120" s="20">
        <v>10</v>
      </c>
      <c r="G120" s="20">
        <v>2</v>
      </c>
      <c r="H120" s="20">
        <v>0</v>
      </c>
      <c r="I120" s="20">
        <v>0</v>
      </c>
    </row>
    <row r="121" spans="1:9" x14ac:dyDescent="0.3">
      <c r="A121" s="2" t="s">
        <v>245</v>
      </c>
      <c r="B121" s="2" t="s">
        <v>246</v>
      </c>
      <c r="C121" s="20">
        <v>15</v>
      </c>
      <c r="D121" s="20">
        <v>0</v>
      </c>
      <c r="E121" s="20">
        <v>0</v>
      </c>
      <c r="F121" s="20">
        <v>0</v>
      </c>
      <c r="G121" s="20">
        <v>0</v>
      </c>
      <c r="H121" s="20">
        <v>0</v>
      </c>
      <c r="I121" s="20">
        <v>20</v>
      </c>
    </row>
    <row r="122" spans="1:9" x14ac:dyDescent="0.3">
      <c r="A122" s="2" t="s">
        <v>247</v>
      </c>
      <c r="B122" s="2" t="s">
        <v>248</v>
      </c>
      <c r="C122" s="20">
        <v>0</v>
      </c>
      <c r="D122" s="20">
        <v>5</v>
      </c>
      <c r="E122" s="20">
        <v>0</v>
      </c>
      <c r="F122" s="20">
        <v>0</v>
      </c>
      <c r="G122" s="20">
        <v>0</v>
      </c>
      <c r="H122" s="20">
        <v>0</v>
      </c>
      <c r="I122" s="20">
        <v>0</v>
      </c>
    </row>
    <row r="123" spans="1:9" x14ac:dyDescent="0.3">
      <c r="A123" s="2" t="s">
        <v>249</v>
      </c>
      <c r="B123" s="2" t="s">
        <v>250</v>
      </c>
      <c r="C123" s="20">
        <v>0</v>
      </c>
      <c r="D123" s="20">
        <v>0</v>
      </c>
      <c r="E123" s="20">
        <v>9</v>
      </c>
      <c r="F123" s="20">
        <v>0</v>
      </c>
      <c r="G123" s="20">
        <v>0</v>
      </c>
      <c r="H123" s="20">
        <v>0</v>
      </c>
      <c r="I123" s="20">
        <v>0</v>
      </c>
    </row>
    <row r="124" spans="1:9" x14ac:dyDescent="0.3">
      <c r="A124" s="2" t="s">
        <v>251</v>
      </c>
      <c r="B124" s="2" t="s">
        <v>252</v>
      </c>
      <c r="C124" s="20">
        <v>0</v>
      </c>
      <c r="D124" s="20">
        <v>0</v>
      </c>
      <c r="E124" s="20">
        <v>5</v>
      </c>
      <c r="F124" s="20">
        <v>0</v>
      </c>
      <c r="G124" s="20">
        <v>0</v>
      </c>
      <c r="H124" s="20">
        <v>0</v>
      </c>
      <c r="I124" s="20">
        <v>0</v>
      </c>
    </row>
    <row r="125" spans="1:9" x14ac:dyDescent="0.3">
      <c r="A125" s="11" t="s">
        <v>254</v>
      </c>
      <c r="B125" s="2" t="s">
        <v>253</v>
      </c>
      <c r="C125" s="20">
        <v>8</v>
      </c>
      <c r="D125" s="20">
        <v>0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</row>
    <row r="126" spans="1:9" x14ac:dyDescent="0.3">
      <c r="A126" s="2" t="s">
        <v>254</v>
      </c>
      <c r="B126" s="2" t="s">
        <v>255</v>
      </c>
      <c r="C126" s="20">
        <v>10</v>
      </c>
      <c r="D126" s="20">
        <v>0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</row>
    <row r="127" spans="1:9" x14ac:dyDescent="0.3">
      <c r="A127" s="2" t="s">
        <v>256</v>
      </c>
      <c r="B127" s="2" t="s">
        <v>257</v>
      </c>
      <c r="C127" s="20">
        <v>0</v>
      </c>
      <c r="D127" s="20">
        <v>0</v>
      </c>
      <c r="E127" s="20">
        <v>2</v>
      </c>
      <c r="F127" s="20">
        <v>0</v>
      </c>
      <c r="G127" s="20">
        <v>0</v>
      </c>
      <c r="H127" s="20">
        <v>0</v>
      </c>
      <c r="I127" s="20">
        <v>0</v>
      </c>
    </row>
    <row r="128" spans="1:9" x14ac:dyDescent="0.3">
      <c r="A128" s="2" t="s">
        <v>258</v>
      </c>
      <c r="B128" s="2" t="s">
        <v>259</v>
      </c>
      <c r="C128" s="20">
        <v>0</v>
      </c>
      <c r="D128" s="20">
        <v>0</v>
      </c>
      <c r="E128" s="20">
        <v>5</v>
      </c>
      <c r="F128" s="20">
        <v>0</v>
      </c>
      <c r="G128" s="20">
        <v>0</v>
      </c>
      <c r="H128" s="20">
        <v>0</v>
      </c>
      <c r="I128" s="20">
        <v>0</v>
      </c>
    </row>
    <row r="129" spans="1:9" x14ac:dyDescent="0.3">
      <c r="A129" s="2" t="s">
        <v>260</v>
      </c>
      <c r="B129" s="2" t="s">
        <v>261</v>
      </c>
      <c r="C129" s="20">
        <v>0</v>
      </c>
      <c r="D129" s="20">
        <v>0</v>
      </c>
      <c r="E129" s="20">
        <v>0</v>
      </c>
      <c r="F129" s="20">
        <v>0</v>
      </c>
      <c r="G129" s="20">
        <v>0</v>
      </c>
      <c r="H129" s="20">
        <v>0</v>
      </c>
      <c r="I129" s="20">
        <v>0</v>
      </c>
    </row>
    <row r="130" spans="1:9" x14ac:dyDescent="0.3">
      <c r="A130" s="2" t="s">
        <v>262</v>
      </c>
      <c r="B130" s="2" t="s">
        <v>263</v>
      </c>
      <c r="C130" s="20">
        <v>0</v>
      </c>
      <c r="D130" s="20">
        <v>0</v>
      </c>
      <c r="E130" s="20">
        <v>0</v>
      </c>
      <c r="F130" s="20">
        <v>0</v>
      </c>
      <c r="G130" s="20">
        <v>0</v>
      </c>
      <c r="H130" s="20">
        <v>0</v>
      </c>
      <c r="I130" s="20">
        <v>0</v>
      </c>
    </row>
    <row r="131" spans="1:9" x14ac:dyDescent="0.3">
      <c r="A131" s="2" t="s">
        <v>264</v>
      </c>
      <c r="B131" s="2" t="s">
        <v>265</v>
      </c>
      <c r="C131" s="20">
        <v>0</v>
      </c>
      <c r="D131" s="20">
        <v>0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</row>
    <row r="132" spans="1:9" x14ac:dyDescent="0.3">
      <c r="A132" s="2" t="s">
        <v>266</v>
      </c>
      <c r="B132" s="2" t="s">
        <v>267</v>
      </c>
      <c r="C132" s="20">
        <v>0</v>
      </c>
      <c r="D132" s="20">
        <v>0</v>
      </c>
      <c r="E132" s="20">
        <v>0</v>
      </c>
      <c r="F132" s="20">
        <v>5</v>
      </c>
      <c r="G132" s="20">
        <v>0</v>
      </c>
      <c r="H132" s="20">
        <v>0</v>
      </c>
      <c r="I132" s="20">
        <v>0</v>
      </c>
    </row>
    <row r="133" spans="1:9" x14ac:dyDescent="0.3">
      <c r="A133" s="2" t="s">
        <v>268</v>
      </c>
      <c r="B133" s="2" t="s">
        <v>269</v>
      </c>
      <c r="C133" s="20">
        <v>0</v>
      </c>
      <c r="D133" s="20">
        <v>0</v>
      </c>
      <c r="E133" s="20">
        <v>0</v>
      </c>
      <c r="F133" s="20">
        <v>5</v>
      </c>
      <c r="G133" s="20">
        <v>0</v>
      </c>
      <c r="H133" s="20">
        <v>0</v>
      </c>
      <c r="I133" s="20">
        <v>0</v>
      </c>
    </row>
    <row r="134" spans="1:9" x14ac:dyDescent="0.3">
      <c r="A134" s="2" t="s">
        <v>270</v>
      </c>
      <c r="B134" s="2" t="s">
        <v>271</v>
      </c>
      <c r="C134" s="20">
        <v>8</v>
      </c>
      <c r="D134" s="20">
        <v>0</v>
      </c>
      <c r="E134" s="20">
        <v>0</v>
      </c>
      <c r="F134" s="20">
        <v>5</v>
      </c>
      <c r="G134" s="20">
        <v>0</v>
      </c>
      <c r="H134" s="20">
        <v>0</v>
      </c>
      <c r="I134" s="20">
        <v>0</v>
      </c>
    </row>
    <row r="135" spans="1:9" x14ac:dyDescent="0.3">
      <c r="A135" s="2" t="s">
        <v>272</v>
      </c>
      <c r="B135" s="2" t="s">
        <v>273</v>
      </c>
      <c r="C135" s="20">
        <v>0</v>
      </c>
      <c r="D135" s="20">
        <v>0</v>
      </c>
      <c r="E135" s="20">
        <v>0</v>
      </c>
      <c r="F135" s="20">
        <v>10</v>
      </c>
      <c r="G135" s="20">
        <v>0</v>
      </c>
      <c r="H135" s="20">
        <v>0</v>
      </c>
      <c r="I135" s="20">
        <v>0</v>
      </c>
    </row>
    <row r="136" spans="1:9" x14ac:dyDescent="0.3">
      <c r="A136" s="2" t="s">
        <v>274</v>
      </c>
      <c r="B136" s="2" t="s">
        <v>275</v>
      </c>
      <c r="C136" s="20">
        <v>0</v>
      </c>
      <c r="D136" s="20">
        <v>0</v>
      </c>
      <c r="E136" s="20">
        <v>0</v>
      </c>
      <c r="F136" s="20">
        <v>10</v>
      </c>
      <c r="G136" s="20">
        <v>0</v>
      </c>
      <c r="H136" s="20">
        <v>0</v>
      </c>
      <c r="I136" s="20">
        <v>0</v>
      </c>
    </row>
    <row r="137" spans="1:9" x14ac:dyDescent="0.3">
      <c r="A137" s="2" t="s">
        <v>278</v>
      </c>
      <c r="B137" s="2" t="s">
        <v>279</v>
      </c>
      <c r="C137" s="20">
        <v>0</v>
      </c>
      <c r="D137" s="20">
        <v>0</v>
      </c>
      <c r="E137" s="20">
        <v>0</v>
      </c>
      <c r="F137" s="20">
        <v>0</v>
      </c>
      <c r="G137" s="20">
        <v>0</v>
      </c>
      <c r="H137" s="20">
        <v>0</v>
      </c>
      <c r="I137" s="20">
        <v>0</v>
      </c>
    </row>
    <row r="138" spans="1:9" x14ac:dyDescent="0.3">
      <c r="A138" s="2" t="s">
        <v>280</v>
      </c>
      <c r="B138" s="2" t="s">
        <v>281</v>
      </c>
      <c r="C138" s="20">
        <v>0</v>
      </c>
      <c r="D138" s="20">
        <v>0</v>
      </c>
      <c r="E138" s="20">
        <v>0</v>
      </c>
      <c r="F138" s="20">
        <v>0</v>
      </c>
      <c r="G138" s="20">
        <v>0</v>
      </c>
      <c r="H138" s="20">
        <v>8</v>
      </c>
      <c r="I138" s="20">
        <v>0</v>
      </c>
    </row>
    <row r="139" spans="1:9" x14ac:dyDescent="0.3">
      <c r="A139" s="2" t="s">
        <v>282</v>
      </c>
      <c r="B139" s="2" t="s">
        <v>283</v>
      </c>
      <c r="C139" s="20">
        <v>0</v>
      </c>
      <c r="D139" s="20">
        <v>0</v>
      </c>
      <c r="E139" s="20">
        <v>0</v>
      </c>
      <c r="F139" s="20">
        <v>0</v>
      </c>
      <c r="G139" s="20">
        <v>0</v>
      </c>
      <c r="H139" s="20">
        <v>3</v>
      </c>
      <c r="I139" s="20">
        <v>0</v>
      </c>
    </row>
    <row r="140" spans="1:9" x14ac:dyDescent="0.3">
      <c r="A140" s="2" t="s">
        <v>284</v>
      </c>
      <c r="B140" s="2" t="s">
        <v>285</v>
      </c>
      <c r="C140" s="20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</row>
    <row r="141" spans="1:9" x14ac:dyDescent="0.3">
      <c r="A141" s="2" t="s">
        <v>286</v>
      </c>
      <c r="B141" s="2" t="s">
        <v>287</v>
      </c>
      <c r="C141" s="20">
        <v>0</v>
      </c>
      <c r="D141" s="20">
        <v>0</v>
      </c>
      <c r="E141" s="20">
        <v>3</v>
      </c>
      <c r="F141" s="20">
        <v>0</v>
      </c>
      <c r="G141" s="20">
        <v>0</v>
      </c>
      <c r="H141" s="20">
        <v>0</v>
      </c>
      <c r="I141" s="20">
        <v>0</v>
      </c>
    </row>
    <row r="142" spans="1:9" x14ac:dyDescent="0.3">
      <c r="A142" s="2" t="s">
        <v>288</v>
      </c>
      <c r="B142" s="2" t="s">
        <v>289</v>
      </c>
      <c r="C142" s="20">
        <v>0</v>
      </c>
      <c r="D142" s="20">
        <v>0</v>
      </c>
      <c r="E142" s="20">
        <v>0</v>
      </c>
      <c r="F142" s="20">
        <v>0</v>
      </c>
      <c r="G142" s="20">
        <v>0</v>
      </c>
      <c r="H142" s="20">
        <v>0</v>
      </c>
      <c r="I142" s="20">
        <v>0</v>
      </c>
    </row>
    <row r="143" spans="1:9" x14ac:dyDescent="0.3">
      <c r="A143" s="2" t="s">
        <v>290</v>
      </c>
      <c r="B143" s="2" t="s">
        <v>291</v>
      </c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</row>
    <row r="144" spans="1:9" x14ac:dyDescent="0.3">
      <c r="A144" s="2" t="s">
        <v>292</v>
      </c>
      <c r="B144" s="2" t="s">
        <v>293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</row>
    <row r="145" spans="1:9" x14ac:dyDescent="0.3">
      <c r="A145" s="2" t="s">
        <v>294</v>
      </c>
      <c r="B145" s="2" t="s">
        <v>295</v>
      </c>
      <c r="C145" s="20">
        <v>0</v>
      </c>
      <c r="D145" s="20">
        <v>0</v>
      </c>
      <c r="E145" s="20">
        <v>0</v>
      </c>
      <c r="F145" s="20">
        <v>0</v>
      </c>
      <c r="G145" s="20">
        <v>0</v>
      </c>
      <c r="H145" s="20">
        <v>0</v>
      </c>
      <c r="I145" s="20">
        <v>0</v>
      </c>
    </row>
    <row r="146" spans="1:9" x14ac:dyDescent="0.3">
      <c r="A146" s="2" t="s">
        <v>296</v>
      </c>
      <c r="B146" s="2" t="s">
        <v>297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</row>
    <row r="147" spans="1:9" x14ac:dyDescent="0.3">
      <c r="A147" s="2" t="s">
        <v>298</v>
      </c>
      <c r="B147" s="2" t="s">
        <v>299</v>
      </c>
      <c r="C147" s="20">
        <v>0</v>
      </c>
      <c r="D147" s="20">
        <v>0</v>
      </c>
      <c r="E147" s="20">
        <v>0</v>
      </c>
      <c r="F147" s="20">
        <v>0</v>
      </c>
      <c r="G147" s="20">
        <v>0</v>
      </c>
      <c r="H147" s="20">
        <v>0</v>
      </c>
      <c r="I147" s="20">
        <v>0</v>
      </c>
    </row>
    <row r="148" spans="1:9" x14ac:dyDescent="0.3">
      <c r="A148" s="2" t="s">
        <v>300</v>
      </c>
      <c r="B148" s="2" t="s">
        <v>301</v>
      </c>
      <c r="C148" s="20">
        <v>0</v>
      </c>
      <c r="D148" s="20">
        <v>0</v>
      </c>
      <c r="E148" s="20">
        <v>0</v>
      </c>
      <c r="F148" s="20">
        <v>0</v>
      </c>
      <c r="G148" s="20">
        <v>0</v>
      </c>
      <c r="H148" s="20">
        <v>0</v>
      </c>
      <c r="I148" s="20">
        <v>0</v>
      </c>
    </row>
    <row r="149" spans="1:9" x14ac:dyDescent="0.3">
      <c r="A149" s="2" t="s">
        <v>302</v>
      </c>
      <c r="B149" s="2" t="s">
        <v>303</v>
      </c>
      <c r="C149" s="20">
        <v>0</v>
      </c>
      <c r="D149" s="20">
        <v>0</v>
      </c>
      <c r="E149" s="20">
        <v>0</v>
      </c>
      <c r="F149" s="20">
        <v>0</v>
      </c>
      <c r="G149" s="20">
        <v>0</v>
      </c>
      <c r="H149" s="20">
        <v>0</v>
      </c>
      <c r="I149" s="20">
        <v>0</v>
      </c>
    </row>
    <row r="150" spans="1:9" x14ac:dyDescent="0.3">
      <c r="A150" s="2" t="s">
        <v>304</v>
      </c>
      <c r="B150" s="2" t="s">
        <v>305</v>
      </c>
      <c r="C150" s="20">
        <v>0</v>
      </c>
      <c r="D150" s="20">
        <v>0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</row>
    <row r="151" spans="1:9" x14ac:dyDescent="0.3">
      <c r="A151" s="2" t="s">
        <v>306</v>
      </c>
      <c r="B151" s="2" t="s">
        <v>307</v>
      </c>
      <c r="C151" s="20">
        <v>0</v>
      </c>
      <c r="D151" s="20">
        <v>0</v>
      </c>
      <c r="E151" s="20">
        <v>0</v>
      </c>
      <c r="F151" s="20">
        <v>20</v>
      </c>
      <c r="G151" s="20">
        <v>0</v>
      </c>
      <c r="H151" s="20">
        <v>0</v>
      </c>
      <c r="I151" s="20">
        <v>0</v>
      </c>
    </row>
    <row r="152" spans="1:9" x14ac:dyDescent="0.3">
      <c r="A152" s="2" t="s">
        <v>308</v>
      </c>
      <c r="B152" s="2" t="s">
        <v>309</v>
      </c>
      <c r="C152" s="20">
        <v>0</v>
      </c>
      <c r="D152" s="20">
        <v>0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</row>
    <row r="153" spans="1:9" x14ac:dyDescent="0.3">
      <c r="A153" s="2" t="s">
        <v>310</v>
      </c>
      <c r="B153" s="2" t="s">
        <v>311</v>
      </c>
      <c r="C153" s="20">
        <v>0</v>
      </c>
      <c r="D153" s="20">
        <v>0</v>
      </c>
      <c r="E153" s="20">
        <v>0</v>
      </c>
      <c r="F153" s="20">
        <v>0</v>
      </c>
      <c r="G153" s="20">
        <v>0</v>
      </c>
      <c r="H153" s="20">
        <v>0</v>
      </c>
      <c r="I153" s="20">
        <v>0</v>
      </c>
    </row>
    <row r="154" spans="1:9" x14ac:dyDescent="0.3">
      <c r="A154" s="2" t="s">
        <v>312</v>
      </c>
      <c r="B154" s="2" t="s">
        <v>313</v>
      </c>
      <c r="C154" s="20">
        <v>0</v>
      </c>
      <c r="D154" s="20">
        <v>0</v>
      </c>
      <c r="E154" s="20">
        <v>0</v>
      </c>
      <c r="F154" s="20">
        <v>0</v>
      </c>
      <c r="G154" s="20">
        <v>4</v>
      </c>
      <c r="H154" s="20">
        <v>0</v>
      </c>
      <c r="I154" s="20">
        <v>0</v>
      </c>
    </row>
    <row r="155" spans="1:9" x14ac:dyDescent="0.3">
      <c r="A155" s="2" t="s">
        <v>314</v>
      </c>
      <c r="B155" s="2" t="s">
        <v>315</v>
      </c>
      <c r="C155" s="20">
        <v>0</v>
      </c>
      <c r="D155" s="20">
        <v>0</v>
      </c>
      <c r="E155" s="20">
        <v>0</v>
      </c>
      <c r="F155" s="20">
        <v>10</v>
      </c>
      <c r="G155" s="20">
        <v>0</v>
      </c>
      <c r="H155" s="20">
        <v>0</v>
      </c>
      <c r="I155" s="20">
        <v>0</v>
      </c>
    </row>
    <row r="156" spans="1:9" x14ac:dyDescent="0.3">
      <c r="A156" s="2" t="s">
        <v>316</v>
      </c>
      <c r="B156" s="2" t="s">
        <v>317</v>
      </c>
      <c r="C156" s="20">
        <v>0</v>
      </c>
      <c r="D156" s="20">
        <v>0</v>
      </c>
      <c r="E156" s="20">
        <v>0</v>
      </c>
      <c r="F156" s="20">
        <v>10</v>
      </c>
      <c r="G156" s="20">
        <v>0</v>
      </c>
      <c r="H156" s="20">
        <v>0</v>
      </c>
      <c r="I156" s="20">
        <v>0</v>
      </c>
    </row>
    <row r="157" spans="1:9" x14ac:dyDescent="0.3">
      <c r="A157" s="2" t="s">
        <v>318</v>
      </c>
      <c r="B157" s="2" t="s">
        <v>319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</row>
    <row r="158" spans="1:9" x14ac:dyDescent="0.3">
      <c r="A158" s="2" t="s">
        <v>320</v>
      </c>
      <c r="B158" s="2" t="s">
        <v>321</v>
      </c>
      <c r="C158" s="20">
        <v>0</v>
      </c>
      <c r="D158" s="20">
        <v>20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</row>
    <row r="159" spans="1:9" x14ac:dyDescent="0.3">
      <c r="A159" s="2" t="s">
        <v>322</v>
      </c>
      <c r="B159" s="2" t="s">
        <v>323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</row>
    <row r="160" spans="1:9" x14ac:dyDescent="0.3">
      <c r="A160" s="2" t="s">
        <v>324</v>
      </c>
      <c r="B160" s="2" t="s">
        <v>325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</row>
    <row r="161" spans="1:9" x14ac:dyDescent="0.3">
      <c r="A161" s="2" t="s">
        <v>326</v>
      </c>
      <c r="B161" s="2" t="s">
        <v>327</v>
      </c>
      <c r="C161" s="20">
        <v>0</v>
      </c>
      <c r="D161" s="20">
        <v>0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</row>
    <row r="162" spans="1:9" x14ac:dyDescent="0.3">
      <c r="A162" s="2" t="s">
        <v>328</v>
      </c>
      <c r="B162" s="2" t="s">
        <v>329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</row>
    <row r="163" spans="1:9" x14ac:dyDescent="0.3">
      <c r="A163" s="2" t="s">
        <v>330</v>
      </c>
      <c r="B163" s="2" t="s">
        <v>331</v>
      </c>
      <c r="C163" s="20">
        <v>0</v>
      </c>
      <c r="D163" s="20">
        <v>0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</row>
    <row r="164" spans="1:9" x14ac:dyDescent="0.3">
      <c r="A164" s="2" t="s">
        <v>332</v>
      </c>
      <c r="B164" s="2" t="s">
        <v>333</v>
      </c>
      <c r="C164" s="20">
        <v>0</v>
      </c>
      <c r="D164" s="20">
        <v>0</v>
      </c>
      <c r="E164" s="20">
        <v>0</v>
      </c>
      <c r="F164" s="20">
        <v>0</v>
      </c>
      <c r="G164" s="20">
        <v>0</v>
      </c>
      <c r="H164" s="20">
        <v>0</v>
      </c>
      <c r="I164" s="20">
        <v>0</v>
      </c>
    </row>
    <row r="165" spans="1:9" x14ac:dyDescent="0.3">
      <c r="A165" s="2" t="s">
        <v>334</v>
      </c>
      <c r="B165" s="2" t="s">
        <v>335</v>
      </c>
      <c r="C165" s="20">
        <v>3</v>
      </c>
      <c r="D165" s="20">
        <v>5</v>
      </c>
      <c r="E165" s="20">
        <v>0</v>
      </c>
      <c r="F165" s="20">
        <v>0</v>
      </c>
      <c r="G165" s="20">
        <v>0</v>
      </c>
      <c r="H165" s="20">
        <v>0</v>
      </c>
      <c r="I165" s="20">
        <v>7</v>
      </c>
    </row>
    <row r="166" spans="1:9" x14ac:dyDescent="0.3">
      <c r="A166" s="2" t="s">
        <v>336</v>
      </c>
      <c r="B166" s="2" t="s">
        <v>337</v>
      </c>
      <c r="C166" s="20">
        <v>0</v>
      </c>
      <c r="D166" s="20">
        <v>0</v>
      </c>
      <c r="E166" s="20">
        <v>0</v>
      </c>
      <c r="F166" s="20">
        <v>15</v>
      </c>
      <c r="G166" s="20">
        <v>0</v>
      </c>
      <c r="H166" s="20">
        <v>0</v>
      </c>
      <c r="I166" s="20">
        <v>0</v>
      </c>
    </row>
    <row r="167" spans="1:9" x14ac:dyDescent="0.3">
      <c r="A167" s="2" t="s">
        <v>338</v>
      </c>
      <c r="B167" s="2" t="s">
        <v>339</v>
      </c>
      <c r="C167" s="20">
        <v>0</v>
      </c>
      <c r="D167" s="20">
        <v>0</v>
      </c>
      <c r="E167" s="20">
        <v>0</v>
      </c>
      <c r="F167" s="20">
        <v>0</v>
      </c>
      <c r="G167" s="20">
        <v>0</v>
      </c>
      <c r="H167" s="20">
        <v>0</v>
      </c>
      <c r="I167" s="20">
        <v>0</v>
      </c>
    </row>
    <row r="168" spans="1:9" x14ac:dyDescent="0.3">
      <c r="A168" s="2" t="s">
        <v>340</v>
      </c>
      <c r="B168" s="2" t="s">
        <v>341</v>
      </c>
      <c r="C168" s="20">
        <v>0</v>
      </c>
      <c r="D168" s="20">
        <v>0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</row>
    <row r="169" spans="1:9" x14ac:dyDescent="0.3">
      <c r="A169" s="2" t="s">
        <v>342</v>
      </c>
      <c r="B169" s="2" t="s">
        <v>343</v>
      </c>
      <c r="C169" s="20">
        <v>0</v>
      </c>
      <c r="D169" s="20">
        <v>0</v>
      </c>
      <c r="E169" s="20">
        <v>0</v>
      </c>
      <c r="F169" s="20">
        <v>0</v>
      </c>
      <c r="G169" s="20">
        <v>0</v>
      </c>
      <c r="H169" s="20">
        <v>0</v>
      </c>
      <c r="I169" s="20">
        <v>0</v>
      </c>
    </row>
    <row r="170" spans="1:9" x14ac:dyDescent="0.3">
      <c r="A170" s="2" t="s">
        <v>344</v>
      </c>
      <c r="B170" s="2" t="s">
        <v>345</v>
      </c>
      <c r="C170" s="20">
        <v>0</v>
      </c>
      <c r="D170" s="20">
        <v>0</v>
      </c>
      <c r="E170" s="20">
        <v>0</v>
      </c>
      <c r="F170" s="20">
        <v>0</v>
      </c>
      <c r="G170" s="20">
        <v>0</v>
      </c>
      <c r="H170" s="20">
        <v>0</v>
      </c>
      <c r="I170" s="20">
        <v>0</v>
      </c>
    </row>
    <row r="171" spans="1:9" x14ac:dyDescent="0.3">
      <c r="A171" s="2" t="s">
        <v>346</v>
      </c>
      <c r="B171" s="2" t="s">
        <v>347</v>
      </c>
      <c r="C171" s="20">
        <v>0</v>
      </c>
      <c r="D171" s="20">
        <v>0</v>
      </c>
      <c r="E171" s="20">
        <v>0</v>
      </c>
      <c r="F171" s="20">
        <v>0</v>
      </c>
      <c r="G171" s="20">
        <v>0</v>
      </c>
      <c r="H171" s="20">
        <v>0</v>
      </c>
      <c r="I171" s="20">
        <v>0</v>
      </c>
    </row>
    <row r="172" spans="1:9" x14ac:dyDescent="0.3">
      <c r="A172" s="2" t="s">
        <v>348</v>
      </c>
      <c r="B172" s="2" t="s">
        <v>349</v>
      </c>
      <c r="C172" s="20">
        <v>0</v>
      </c>
      <c r="D172" s="20">
        <v>0</v>
      </c>
      <c r="E172" s="20">
        <v>0</v>
      </c>
      <c r="F172" s="20">
        <v>0</v>
      </c>
      <c r="G172" s="20">
        <v>0</v>
      </c>
      <c r="H172" s="20">
        <v>0</v>
      </c>
      <c r="I172" s="20">
        <v>0</v>
      </c>
    </row>
    <row r="173" spans="1:9" x14ac:dyDescent="0.3">
      <c r="A173" s="2" t="s">
        <v>350</v>
      </c>
      <c r="B173" s="2" t="s">
        <v>351</v>
      </c>
      <c r="C173" s="20">
        <v>0</v>
      </c>
      <c r="D173" s="20">
        <v>3</v>
      </c>
      <c r="E173" s="20">
        <v>0</v>
      </c>
      <c r="F173" s="20">
        <v>10</v>
      </c>
      <c r="G173" s="20">
        <v>0</v>
      </c>
      <c r="H173" s="20">
        <v>0</v>
      </c>
      <c r="I173" s="20">
        <v>0</v>
      </c>
    </row>
    <row r="174" spans="1:9" x14ac:dyDescent="0.3">
      <c r="A174" s="6" t="s">
        <v>352</v>
      </c>
      <c r="B174" s="6" t="s">
        <v>353</v>
      </c>
      <c r="C174" s="20">
        <v>2</v>
      </c>
      <c r="D174" s="20">
        <v>3</v>
      </c>
      <c r="E174" s="20">
        <v>0</v>
      </c>
      <c r="F174" s="20">
        <v>0</v>
      </c>
      <c r="G174" s="20">
        <v>0</v>
      </c>
      <c r="H174" s="20">
        <v>0</v>
      </c>
      <c r="I174" s="20">
        <v>0</v>
      </c>
    </row>
    <row r="175" spans="1:9" x14ac:dyDescent="0.3">
      <c r="A175" s="6" t="s">
        <v>354</v>
      </c>
      <c r="B175" s="6" t="s">
        <v>355</v>
      </c>
      <c r="C175" s="20">
        <v>2</v>
      </c>
      <c r="D175" s="20">
        <v>3</v>
      </c>
      <c r="E175" s="20">
        <v>0</v>
      </c>
      <c r="F175" s="20">
        <v>0</v>
      </c>
      <c r="G175" s="20">
        <v>0</v>
      </c>
      <c r="H175" s="20">
        <v>0</v>
      </c>
      <c r="I175" s="20">
        <v>0</v>
      </c>
    </row>
    <row r="176" spans="1:9" x14ac:dyDescent="0.3">
      <c r="A176" s="2" t="s">
        <v>356</v>
      </c>
      <c r="B176" s="2" t="s">
        <v>357</v>
      </c>
      <c r="C176" s="20">
        <v>0</v>
      </c>
      <c r="D176" s="20">
        <v>0</v>
      </c>
      <c r="E176" s="20">
        <v>0</v>
      </c>
      <c r="F176" s="20">
        <v>15</v>
      </c>
      <c r="G176" s="20">
        <v>0</v>
      </c>
      <c r="H176" s="20">
        <v>0</v>
      </c>
      <c r="I176" s="20">
        <v>0</v>
      </c>
    </row>
    <row r="177" spans="1:9" x14ac:dyDescent="0.3">
      <c r="A177" s="2" t="s">
        <v>358</v>
      </c>
      <c r="B177" s="2" t="s">
        <v>359</v>
      </c>
      <c r="C177" s="20">
        <v>0</v>
      </c>
      <c r="D177" s="20">
        <v>3</v>
      </c>
      <c r="E177" s="20">
        <v>0</v>
      </c>
      <c r="F177" s="20">
        <v>0</v>
      </c>
      <c r="G177" s="20">
        <v>0</v>
      </c>
      <c r="H177" s="20">
        <v>0</v>
      </c>
      <c r="I177" s="20">
        <v>0</v>
      </c>
    </row>
    <row r="178" spans="1:9" x14ac:dyDescent="0.3">
      <c r="A178" s="2" t="s">
        <v>360</v>
      </c>
      <c r="B178" s="2" t="s">
        <v>361</v>
      </c>
      <c r="C178" s="20">
        <v>0</v>
      </c>
      <c r="D178" s="20">
        <v>0</v>
      </c>
      <c r="E178" s="20">
        <v>0</v>
      </c>
      <c r="F178" s="20">
        <v>0</v>
      </c>
      <c r="G178" s="20">
        <v>0</v>
      </c>
      <c r="H178" s="20">
        <v>0</v>
      </c>
      <c r="I178" s="20">
        <v>0</v>
      </c>
    </row>
    <row r="179" spans="1:9" x14ac:dyDescent="0.3">
      <c r="A179" s="2" t="s">
        <v>362</v>
      </c>
      <c r="B179" s="2" t="s">
        <v>363</v>
      </c>
      <c r="C179" s="20">
        <v>0</v>
      </c>
      <c r="D179" s="20">
        <v>3</v>
      </c>
      <c r="E179" s="20">
        <v>0</v>
      </c>
      <c r="F179" s="20">
        <v>0</v>
      </c>
      <c r="G179" s="20">
        <v>0</v>
      </c>
      <c r="H179" s="20">
        <v>0</v>
      </c>
      <c r="I179" s="20">
        <v>0</v>
      </c>
    </row>
    <row r="180" spans="1:9" x14ac:dyDescent="0.3">
      <c r="A180" s="2" t="s">
        <v>364</v>
      </c>
      <c r="B180" s="2" t="s">
        <v>365</v>
      </c>
      <c r="C180" s="20">
        <v>0</v>
      </c>
      <c r="D180" s="20">
        <v>0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</row>
    <row r="181" spans="1:9" x14ac:dyDescent="0.3">
      <c r="A181" s="2" t="s">
        <v>366</v>
      </c>
      <c r="B181" s="2" t="s">
        <v>367</v>
      </c>
      <c r="C181" s="20">
        <v>0</v>
      </c>
      <c r="D181" s="20">
        <v>0</v>
      </c>
      <c r="E181" s="20">
        <v>0</v>
      </c>
      <c r="F181" s="20">
        <v>0</v>
      </c>
      <c r="G181" s="20">
        <v>0</v>
      </c>
      <c r="H181" s="20">
        <v>0</v>
      </c>
      <c r="I181" s="20">
        <v>0</v>
      </c>
    </row>
    <row r="182" spans="1:9" x14ac:dyDescent="0.3">
      <c r="A182" s="2" t="s">
        <v>368</v>
      </c>
      <c r="B182" s="2" t="s">
        <v>369</v>
      </c>
      <c r="C182" s="20">
        <v>0</v>
      </c>
      <c r="D182" s="20">
        <v>0</v>
      </c>
      <c r="E182" s="20">
        <v>0</v>
      </c>
      <c r="F182" s="20">
        <v>0</v>
      </c>
      <c r="G182" s="20">
        <v>0</v>
      </c>
      <c r="H182" s="20">
        <v>0</v>
      </c>
      <c r="I182" s="20">
        <v>0</v>
      </c>
    </row>
    <row r="183" spans="1:9" x14ac:dyDescent="0.3">
      <c r="A183" s="2" t="s">
        <v>370</v>
      </c>
      <c r="B183" s="2" t="s">
        <v>371</v>
      </c>
      <c r="C183" s="20">
        <v>0</v>
      </c>
      <c r="D183" s="20">
        <v>0</v>
      </c>
      <c r="E183" s="20">
        <v>0</v>
      </c>
      <c r="F183" s="20">
        <v>15</v>
      </c>
      <c r="G183" s="20">
        <v>0</v>
      </c>
      <c r="H183" s="20">
        <v>0</v>
      </c>
      <c r="I183" s="20">
        <v>0</v>
      </c>
    </row>
    <row r="184" spans="1:9" x14ac:dyDescent="0.3">
      <c r="A184" s="2" t="s">
        <v>372</v>
      </c>
      <c r="B184" s="2" t="s">
        <v>373</v>
      </c>
      <c r="C184" s="20">
        <v>0</v>
      </c>
      <c r="D184" s="20">
        <v>0</v>
      </c>
      <c r="E184" s="20">
        <v>0</v>
      </c>
      <c r="F184" s="20">
        <v>0</v>
      </c>
      <c r="G184" s="20">
        <v>0</v>
      </c>
      <c r="H184" s="20">
        <v>0</v>
      </c>
      <c r="I184" s="20">
        <v>0</v>
      </c>
    </row>
    <row r="185" spans="1:9" x14ac:dyDescent="0.3">
      <c r="A185" s="2" t="s">
        <v>374</v>
      </c>
      <c r="B185" s="2" t="s">
        <v>375</v>
      </c>
      <c r="C185" s="20">
        <v>0</v>
      </c>
      <c r="D185" s="20">
        <v>0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</row>
    <row r="186" spans="1:9" x14ac:dyDescent="0.3">
      <c r="A186" s="2" t="s">
        <v>376</v>
      </c>
      <c r="B186" s="2" t="s">
        <v>377</v>
      </c>
      <c r="C186" s="20">
        <v>0</v>
      </c>
      <c r="D186" s="20">
        <v>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</row>
    <row r="187" spans="1:9" x14ac:dyDescent="0.3">
      <c r="A187" s="2" t="s">
        <v>378</v>
      </c>
      <c r="B187" s="2" t="s">
        <v>379</v>
      </c>
      <c r="C187" s="20">
        <v>0</v>
      </c>
      <c r="D187" s="20">
        <v>0</v>
      </c>
      <c r="E187" s="20">
        <v>0</v>
      </c>
      <c r="F187" s="20">
        <v>0</v>
      </c>
      <c r="G187" s="20">
        <v>0</v>
      </c>
      <c r="H187" s="20">
        <v>0</v>
      </c>
      <c r="I187" s="20">
        <v>0</v>
      </c>
    </row>
    <row r="188" spans="1:9" x14ac:dyDescent="0.3">
      <c r="A188" s="2" t="s">
        <v>380</v>
      </c>
      <c r="B188" s="2" t="s">
        <v>381</v>
      </c>
      <c r="C188" s="20">
        <v>2</v>
      </c>
      <c r="D188" s="20">
        <v>0</v>
      </c>
      <c r="E188" s="20">
        <v>0</v>
      </c>
      <c r="F188" s="20">
        <v>0</v>
      </c>
      <c r="G188" s="20">
        <v>0</v>
      </c>
      <c r="H188" s="20">
        <v>0</v>
      </c>
      <c r="I188" s="20">
        <v>0</v>
      </c>
    </row>
    <row r="189" spans="1:9" x14ac:dyDescent="0.3">
      <c r="A189" s="2" t="s">
        <v>382</v>
      </c>
      <c r="B189" s="2" t="s">
        <v>383</v>
      </c>
      <c r="C189" s="20">
        <v>0</v>
      </c>
      <c r="D189" s="20">
        <v>0</v>
      </c>
      <c r="E189" s="20">
        <v>0</v>
      </c>
      <c r="F189" s="20">
        <v>0</v>
      </c>
      <c r="G189" s="20">
        <v>0</v>
      </c>
      <c r="H189" s="20">
        <v>0</v>
      </c>
      <c r="I189" s="20">
        <v>0</v>
      </c>
    </row>
    <row r="190" spans="1:9" x14ac:dyDescent="0.3">
      <c r="A190" s="2" t="s">
        <v>384</v>
      </c>
      <c r="B190" s="2" t="s">
        <v>385</v>
      </c>
      <c r="C190" s="20">
        <v>0</v>
      </c>
      <c r="D190" s="20">
        <v>0</v>
      </c>
      <c r="E190" s="20">
        <v>0</v>
      </c>
      <c r="F190" s="20">
        <v>0</v>
      </c>
      <c r="G190" s="20">
        <v>0</v>
      </c>
      <c r="H190" s="20">
        <v>0</v>
      </c>
      <c r="I190" s="20">
        <v>0</v>
      </c>
    </row>
    <row r="191" spans="1:9" x14ac:dyDescent="0.3">
      <c r="A191" s="2" t="s">
        <v>386</v>
      </c>
      <c r="B191" s="2" t="s">
        <v>387</v>
      </c>
      <c r="C191" s="20">
        <v>0</v>
      </c>
      <c r="D191" s="20">
        <v>0</v>
      </c>
      <c r="E191" s="20">
        <v>0</v>
      </c>
      <c r="F191" s="20">
        <v>0</v>
      </c>
      <c r="G191" s="20">
        <v>5</v>
      </c>
      <c r="H191" s="20">
        <v>2</v>
      </c>
      <c r="I191" s="20">
        <v>0</v>
      </c>
    </row>
    <row r="192" spans="1:9" x14ac:dyDescent="0.3">
      <c r="A192" s="2" t="s">
        <v>388</v>
      </c>
      <c r="B192" s="2" t="s">
        <v>389</v>
      </c>
      <c r="C192" s="20">
        <v>0</v>
      </c>
      <c r="D192" s="20">
        <v>0</v>
      </c>
      <c r="E192" s="20">
        <v>0</v>
      </c>
      <c r="F192" s="20">
        <v>0</v>
      </c>
      <c r="G192" s="20">
        <v>5</v>
      </c>
      <c r="H192" s="20">
        <v>2</v>
      </c>
      <c r="I192" s="20">
        <v>0</v>
      </c>
    </row>
    <row r="193" spans="1:9" x14ac:dyDescent="0.3">
      <c r="A193" s="2" t="s">
        <v>390</v>
      </c>
      <c r="B193" s="2" t="s">
        <v>391</v>
      </c>
      <c r="C193" s="20">
        <v>0</v>
      </c>
      <c r="D193" s="20">
        <v>0</v>
      </c>
      <c r="E193" s="20">
        <v>0</v>
      </c>
      <c r="F193" s="20">
        <v>0</v>
      </c>
      <c r="G193" s="20">
        <v>0</v>
      </c>
      <c r="H193" s="20">
        <v>0</v>
      </c>
      <c r="I193" s="20">
        <v>0</v>
      </c>
    </row>
    <row r="194" spans="1:9" x14ac:dyDescent="0.3">
      <c r="A194" s="2" t="s">
        <v>392</v>
      </c>
      <c r="B194" s="2" t="s">
        <v>393</v>
      </c>
      <c r="C194" s="20">
        <v>0</v>
      </c>
      <c r="D194" s="20">
        <v>0</v>
      </c>
      <c r="E194" s="20">
        <v>0</v>
      </c>
      <c r="F194" s="20">
        <v>5</v>
      </c>
      <c r="G194" s="20">
        <v>0</v>
      </c>
      <c r="H194" s="20">
        <v>0</v>
      </c>
      <c r="I194" s="20">
        <v>0</v>
      </c>
    </row>
    <row r="195" spans="1:9" x14ac:dyDescent="0.3">
      <c r="A195" s="2" t="s">
        <v>394</v>
      </c>
      <c r="B195" s="2" t="s">
        <v>395</v>
      </c>
      <c r="C195" s="20">
        <v>0</v>
      </c>
      <c r="D195" s="20">
        <v>0</v>
      </c>
      <c r="E195" s="20">
        <v>0</v>
      </c>
      <c r="F195" s="20">
        <v>5</v>
      </c>
      <c r="G195" s="20">
        <v>0</v>
      </c>
      <c r="H195" s="20">
        <v>0</v>
      </c>
      <c r="I195" s="20">
        <v>0</v>
      </c>
    </row>
    <row r="196" spans="1:9" x14ac:dyDescent="0.3">
      <c r="A196" s="2" t="s">
        <v>396</v>
      </c>
      <c r="B196" s="2" t="s">
        <v>397</v>
      </c>
      <c r="C196" s="20">
        <v>0</v>
      </c>
      <c r="D196" s="20">
        <v>0</v>
      </c>
      <c r="E196" s="20">
        <v>0</v>
      </c>
      <c r="F196" s="20">
        <v>5</v>
      </c>
      <c r="G196" s="20">
        <v>0</v>
      </c>
      <c r="H196" s="20">
        <v>0</v>
      </c>
      <c r="I196" s="20">
        <v>0</v>
      </c>
    </row>
    <row r="197" spans="1:9" x14ac:dyDescent="0.3">
      <c r="A197" s="2" t="s">
        <v>398</v>
      </c>
      <c r="B197" s="2" t="s">
        <v>399</v>
      </c>
      <c r="C197" s="20">
        <v>0</v>
      </c>
      <c r="D197" s="20">
        <v>0</v>
      </c>
      <c r="E197" s="20">
        <v>0</v>
      </c>
      <c r="F197" s="20">
        <v>5</v>
      </c>
      <c r="G197" s="20">
        <v>0</v>
      </c>
      <c r="H197" s="20">
        <v>0</v>
      </c>
      <c r="I197" s="20">
        <v>0</v>
      </c>
    </row>
    <row r="198" spans="1:9" x14ac:dyDescent="0.3">
      <c r="A198" s="2" t="s">
        <v>400</v>
      </c>
      <c r="B198" s="2" t="s">
        <v>401</v>
      </c>
      <c r="C198" s="20">
        <v>0</v>
      </c>
      <c r="D198" s="20">
        <v>0</v>
      </c>
      <c r="E198" s="20">
        <v>0</v>
      </c>
      <c r="F198" s="20">
        <v>5</v>
      </c>
      <c r="G198" s="20">
        <v>0</v>
      </c>
      <c r="H198" s="20">
        <v>0</v>
      </c>
      <c r="I198" s="20">
        <v>0</v>
      </c>
    </row>
    <row r="199" spans="1:9" x14ac:dyDescent="0.3">
      <c r="A199" s="2" t="s">
        <v>402</v>
      </c>
      <c r="B199" s="2" t="s">
        <v>403</v>
      </c>
      <c r="C199" s="20">
        <v>0</v>
      </c>
      <c r="D199" s="20">
        <v>0</v>
      </c>
      <c r="E199" s="20">
        <v>0</v>
      </c>
      <c r="F199" s="20">
        <v>0</v>
      </c>
      <c r="G199" s="20">
        <v>0</v>
      </c>
      <c r="H199" s="20">
        <v>0</v>
      </c>
      <c r="I199" s="20">
        <v>0</v>
      </c>
    </row>
    <row r="200" spans="1:9" x14ac:dyDescent="0.3">
      <c r="A200" s="2" t="s">
        <v>404</v>
      </c>
      <c r="B200" s="2" t="s">
        <v>405</v>
      </c>
      <c r="C200" s="20">
        <v>0</v>
      </c>
      <c r="D200" s="20">
        <v>0</v>
      </c>
      <c r="E200" s="20">
        <v>0</v>
      </c>
      <c r="F200" s="20">
        <v>0</v>
      </c>
      <c r="G200" s="20">
        <v>0</v>
      </c>
      <c r="H200" s="20">
        <v>0</v>
      </c>
      <c r="I200" s="20">
        <v>0</v>
      </c>
    </row>
    <row r="201" spans="1:9" x14ac:dyDescent="0.3">
      <c r="A201" s="2" t="s">
        <v>406</v>
      </c>
      <c r="B201" s="2" t="s">
        <v>407</v>
      </c>
      <c r="C201" s="20">
        <v>2</v>
      </c>
      <c r="D201" s="20">
        <v>0</v>
      </c>
      <c r="E201" s="20">
        <v>0</v>
      </c>
      <c r="F201" s="20">
        <v>0</v>
      </c>
      <c r="G201" s="20">
        <v>0</v>
      </c>
      <c r="H201" s="20">
        <v>0</v>
      </c>
      <c r="I201" s="20">
        <v>0</v>
      </c>
    </row>
    <row r="202" spans="1:9" x14ac:dyDescent="0.3">
      <c r="A202" s="2" t="s">
        <v>408</v>
      </c>
      <c r="B202" s="2" t="s">
        <v>409</v>
      </c>
      <c r="C202" s="20">
        <v>0</v>
      </c>
      <c r="D202" s="20">
        <v>0</v>
      </c>
      <c r="E202" s="20">
        <v>0</v>
      </c>
      <c r="F202" s="20">
        <v>0</v>
      </c>
      <c r="G202" s="20">
        <v>0</v>
      </c>
      <c r="H202" s="20">
        <v>0</v>
      </c>
      <c r="I202" s="20">
        <v>0</v>
      </c>
    </row>
    <row r="203" spans="1:9" x14ac:dyDescent="0.3">
      <c r="A203" s="2" t="s">
        <v>410</v>
      </c>
      <c r="B203" s="2" t="s">
        <v>411</v>
      </c>
      <c r="C203" s="20">
        <v>0</v>
      </c>
      <c r="D203" s="20">
        <v>0</v>
      </c>
      <c r="E203" s="20">
        <v>0</v>
      </c>
      <c r="F203" s="20">
        <v>0</v>
      </c>
      <c r="G203" s="20">
        <v>0</v>
      </c>
      <c r="H203" s="20">
        <v>0</v>
      </c>
      <c r="I203" s="20">
        <v>0</v>
      </c>
    </row>
    <row r="204" spans="1:9" x14ac:dyDescent="0.3">
      <c r="A204" s="2" t="s">
        <v>412</v>
      </c>
      <c r="B204" s="2" t="s">
        <v>413</v>
      </c>
      <c r="C204" s="20">
        <v>0</v>
      </c>
      <c r="D204" s="20">
        <v>0</v>
      </c>
      <c r="E204" s="20">
        <v>0</v>
      </c>
      <c r="F204" s="20">
        <v>0</v>
      </c>
      <c r="G204" s="20">
        <v>0</v>
      </c>
      <c r="H204" s="20">
        <v>0</v>
      </c>
      <c r="I204" s="20">
        <v>0</v>
      </c>
    </row>
    <row r="205" spans="1:9" x14ac:dyDescent="0.3">
      <c r="A205" s="2" t="s">
        <v>414</v>
      </c>
      <c r="B205" s="2" t="s">
        <v>415</v>
      </c>
      <c r="C205" s="20">
        <v>2</v>
      </c>
      <c r="D205" s="20">
        <v>0</v>
      </c>
      <c r="E205" s="20">
        <v>0</v>
      </c>
      <c r="F205" s="20">
        <v>0</v>
      </c>
      <c r="G205" s="20">
        <v>0</v>
      </c>
      <c r="H205" s="20">
        <v>0</v>
      </c>
      <c r="I205" s="20">
        <v>4</v>
      </c>
    </row>
    <row r="206" spans="1:9" x14ac:dyDescent="0.3">
      <c r="A206" s="2" t="s">
        <v>416</v>
      </c>
      <c r="B206" s="2" t="s">
        <v>417</v>
      </c>
      <c r="C206" s="20">
        <v>0</v>
      </c>
      <c r="D206" s="20">
        <v>0</v>
      </c>
      <c r="E206" s="20">
        <v>0</v>
      </c>
      <c r="F206" s="20">
        <v>0</v>
      </c>
      <c r="G206" s="20">
        <v>0</v>
      </c>
      <c r="H206" s="20">
        <v>0</v>
      </c>
      <c r="I206" s="20">
        <v>0</v>
      </c>
    </row>
    <row r="207" spans="1:9" x14ac:dyDescent="0.3">
      <c r="A207" s="2" t="s">
        <v>418</v>
      </c>
      <c r="B207" s="2" t="s">
        <v>419</v>
      </c>
      <c r="C207" s="20">
        <v>0</v>
      </c>
      <c r="D207" s="20">
        <v>10</v>
      </c>
      <c r="E207" s="20">
        <v>0</v>
      </c>
      <c r="F207" s="20">
        <v>0</v>
      </c>
      <c r="G207" s="20">
        <v>0</v>
      </c>
      <c r="H207" s="20">
        <v>0</v>
      </c>
      <c r="I207" s="20">
        <v>0</v>
      </c>
    </row>
    <row r="208" spans="1:9" x14ac:dyDescent="0.3">
      <c r="A208" s="2" t="s">
        <v>420</v>
      </c>
      <c r="B208" s="2" t="s">
        <v>421</v>
      </c>
      <c r="C208" s="20">
        <v>0</v>
      </c>
      <c r="D208" s="20">
        <v>0</v>
      </c>
      <c r="E208" s="20">
        <v>0</v>
      </c>
      <c r="F208" s="20">
        <v>0</v>
      </c>
      <c r="G208" s="20">
        <v>0</v>
      </c>
      <c r="H208" s="20">
        <v>0</v>
      </c>
      <c r="I208" s="20">
        <v>0</v>
      </c>
    </row>
    <row r="209" spans="1:9" x14ac:dyDescent="0.3">
      <c r="A209" s="2" t="s">
        <v>422</v>
      </c>
      <c r="B209" s="2" t="s">
        <v>423</v>
      </c>
      <c r="C209" s="20">
        <v>0</v>
      </c>
      <c r="D209" s="20">
        <v>0</v>
      </c>
      <c r="E209" s="20">
        <v>0</v>
      </c>
      <c r="F209" s="20">
        <v>2</v>
      </c>
      <c r="G209" s="20">
        <v>0</v>
      </c>
      <c r="H209" s="20">
        <v>0</v>
      </c>
      <c r="I209" s="20">
        <v>0</v>
      </c>
    </row>
    <row r="210" spans="1:9" x14ac:dyDescent="0.3">
      <c r="A210" s="2" t="s">
        <v>424</v>
      </c>
      <c r="B210" s="2" t="s">
        <v>425</v>
      </c>
      <c r="C210" s="20">
        <v>0</v>
      </c>
      <c r="D210" s="20">
        <v>0</v>
      </c>
      <c r="E210" s="20">
        <v>0</v>
      </c>
      <c r="F210" s="20">
        <v>2</v>
      </c>
      <c r="G210" s="20">
        <v>0</v>
      </c>
      <c r="H210" s="20">
        <v>0</v>
      </c>
      <c r="I210" s="20">
        <v>0</v>
      </c>
    </row>
    <row r="211" spans="1:9" x14ac:dyDescent="0.3">
      <c r="A211" s="2" t="s">
        <v>426</v>
      </c>
      <c r="B211" s="2" t="s">
        <v>427</v>
      </c>
      <c r="C211" s="20">
        <v>0</v>
      </c>
      <c r="D211" s="20">
        <v>0</v>
      </c>
      <c r="E211" s="20">
        <v>0</v>
      </c>
      <c r="F211" s="20">
        <v>0</v>
      </c>
      <c r="G211" s="20">
        <v>0</v>
      </c>
      <c r="H211" s="20">
        <v>0</v>
      </c>
      <c r="I211" s="20">
        <v>0</v>
      </c>
    </row>
    <row r="212" spans="1:9" x14ac:dyDescent="0.3">
      <c r="A212" s="2" t="s">
        <v>428</v>
      </c>
      <c r="B212" s="2" t="s">
        <v>429</v>
      </c>
      <c r="C212" s="20">
        <v>3</v>
      </c>
      <c r="D212" s="20">
        <v>0</v>
      </c>
      <c r="E212" s="20">
        <v>0</v>
      </c>
      <c r="F212" s="20">
        <v>0</v>
      </c>
      <c r="G212" s="20">
        <v>0</v>
      </c>
      <c r="H212" s="20">
        <v>4</v>
      </c>
      <c r="I212" s="20">
        <v>0</v>
      </c>
    </row>
    <row r="213" spans="1:9" x14ac:dyDescent="0.3">
      <c r="A213" s="2" t="s">
        <v>430</v>
      </c>
      <c r="B213" s="2" t="s">
        <v>431</v>
      </c>
      <c r="C213" s="20">
        <v>0</v>
      </c>
      <c r="D213" s="20">
        <v>15</v>
      </c>
      <c r="E213" s="20">
        <v>0</v>
      </c>
      <c r="F213" s="20">
        <v>0</v>
      </c>
      <c r="G213" s="20">
        <v>0</v>
      </c>
      <c r="H213" s="20">
        <v>0</v>
      </c>
      <c r="I213" s="20">
        <v>20</v>
      </c>
    </row>
    <row r="214" spans="1:9" x14ac:dyDescent="0.3">
      <c r="A214" s="2" t="s">
        <v>432</v>
      </c>
      <c r="B214" s="2" t="s">
        <v>433</v>
      </c>
      <c r="C214" s="20">
        <v>0</v>
      </c>
      <c r="D214" s="20">
        <v>0</v>
      </c>
      <c r="E214" s="20">
        <v>3</v>
      </c>
      <c r="F214" s="20">
        <v>0</v>
      </c>
      <c r="G214" s="20">
        <v>0</v>
      </c>
      <c r="H214" s="20">
        <v>0</v>
      </c>
      <c r="I214" s="20">
        <v>0</v>
      </c>
    </row>
    <row r="215" spans="1:9" x14ac:dyDescent="0.3">
      <c r="A215" s="2" t="s">
        <v>434</v>
      </c>
      <c r="B215" s="2" t="s">
        <v>435</v>
      </c>
      <c r="C215" s="20">
        <v>0</v>
      </c>
      <c r="D215" s="20">
        <v>0</v>
      </c>
      <c r="E215" s="20">
        <v>10</v>
      </c>
      <c r="F215" s="20">
        <v>0</v>
      </c>
      <c r="G215" s="20">
        <v>0</v>
      </c>
      <c r="H215" s="20">
        <v>0</v>
      </c>
      <c r="I215" s="20">
        <v>0</v>
      </c>
    </row>
    <row r="216" spans="1:9" x14ac:dyDescent="0.3">
      <c r="A216" s="2" t="s">
        <v>436</v>
      </c>
      <c r="B216" s="2" t="s">
        <v>437</v>
      </c>
      <c r="C216" s="20">
        <v>0</v>
      </c>
      <c r="D216" s="20">
        <v>0</v>
      </c>
      <c r="E216" s="20">
        <v>0</v>
      </c>
      <c r="F216" s="20">
        <v>0</v>
      </c>
      <c r="G216" s="20">
        <v>0</v>
      </c>
      <c r="H216" s="20">
        <v>0</v>
      </c>
      <c r="I216" s="20">
        <v>0</v>
      </c>
    </row>
    <row r="217" spans="1:9" x14ac:dyDescent="0.3">
      <c r="A217" s="2" t="s">
        <v>438</v>
      </c>
      <c r="B217" s="2" t="s">
        <v>439</v>
      </c>
      <c r="C217" s="20">
        <v>0</v>
      </c>
      <c r="D217" s="20">
        <v>0</v>
      </c>
      <c r="E217" s="20">
        <v>0</v>
      </c>
      <c r="F217" s="20">
        <v>0</v>
      </c>
      <c r="G217" s="20">
        <v>0</v>
      </c>
      <c r="H217" s="20">
        <v>0</v>
      </c>
      <c r="I217" s="20">
        <v>0</v>
      </c>
    </row>
    <row r="218" spans="1:9" x14ac:dyDescent="0.3">
      <c r="A218" s="2" t="s">
        <v>440</v>
      </c>
      <c r="B218" s="2" t="s">
        <v>441</v>
      </c>
      <c r="C218" s="20">
        <v>0</v>
      </c>
      <c r="D218" s="20">
        <v>0</v>
      </c>
      <c r="E218" s="20">
        <v>0</v>
      </c>
      <c r="F218" s="20">
        <v>0</v>
      </c>
      <c r="G218" s="20">
        <v>0</v>
      </c>
      <c r="H218" s="20">
        <v>0</v>
      </c>
      <c r="I218" s="20">
        <v>0</v>
      </c>
    </row>
    <row r="219" spans="1:9" x14ac:dyDescent="0.3">
      <c r="A219" s="2" t="s">
        <v>442</v>
      </c>
      <c r="B219" s="2" t="s">
        <v>443</v>
      </c>
      <c r="C219" s="20">
        <v>0</v>
      </c>
      <c r="D219" s="20">
        <v>15</v>
      </c>
      <c r="E219" s="20">
        <v>0</v>
      </c>
      <c r="F219" s="20">
        <v>0</v>
      </c>
      <c r="G219" s="20">
        <v>0</v>
      </c>
      <c r="H219" s="20">
        <v>0</v>
      </c>
      <c r="I219" s="20">
        <v>0</v>
      </c>
    </row>
    <row r="220" spans="1:9" x14ac:dyDescent="0.3">
      <c r="A220" s="2" t="s">
        <v>444</v>
      </c>
      <c r="B220" s="2" t="s">
        <v>445</v>
      </c>
      <c r="C220" s="20">
        <v>0</v>
      </c>
      <c r="D220" s="20">
        <v>0</v>
      </c>
      <c r="E220" s="20">
        <v>0</v>
      </c>
      <c r="F220" s="20">
        <v>0</v>
      </c>
      <c r="G220" s="20">
        <v>0</v>
      </c>
      <c r="H220" s="20">
        <v>0</v>
      </c>
      <c r="I220" s="20">
        <v>0</v>
      </c>
    </row>
    <row r="221" spans="1:9" x14ac:dyDescent="0.3">
      <c r="A221" s="2" t="s">
        <v>446</v>
      </c>
      <c r="B221" s="2" t="s">
        <v>447</v>
      </c>
      <c r="C221" s="20">
        <v>0</v>
      </c>
      <c r="D221" s="20">
        <v>4</v>
      </c>
      <c r="E221" s="20">
        <v>0</v>
      </c>
      <c r="F221" s="20">
        <v>0</v>
      </c>
      <c r="G221" s="20">
        <v>0</v>
      </c>
      <c r="H221" s="20">
        <v>0</v>
      </c>
      <c r="I221" s="20">
        <v>0</v>
      </c>
    </row>
    <row r="222" spans="1:9" x14ac:dyDescent="0.3">
      <c r="A222" s="2" t="s">
        <v>448</v>
      </c>
      <c r="B222" s="2" t="s">
        <v>449</v>
      </c>
      <c r="C222" s="20">
        <v>0</v>
      </c>
      <c r="D222" s="20">
        <v>0</v>
      </c>
      <c r="E222" s="20">
        <v>0</v>
      </c>
      <c r="F222" s="20">
        <v>0</v>
      </c>
      <c r="G222" s="20">
        <v>0</v>
      </c>
      <c r="H222" s="20">
        <v>0</v>
      </c>
      <c r="I222" s="20">
        <v>0</v>
      </c>
    </row>
    <row r="223" spans="1:9" x14ac:dyDescent="0.3">
      <c r="A223" s="2" t="s">
        <v>450</v>
      </c>
      <c r="B223" s="2" t="s">
        <v>451</v>
      </c>
      <c r="C223" s="20">
        <v>0</v>
      </c>
      <c r="D223" s="20">
        <v>3</v>
      </c>
      <c r="E223" s="20">
        <v>0</v>
      </c>
      <c r="F223" s="20">
        <v>0</v>
      </c>
      <c r="G223" s="20">
        <v>0</v>
      </c>
      <c r="H223" s="20">
        <v>0</v>
      </c>
      <c r="I223" s="20">
        <v>0</v>
      </c>
    </row>
    <row r="224" spans="1:9" x14ac:dyDescent="0.3">
      <c r="A224" s="2" t="s">
        <v>452</v>
      </c>
      <c r="B224" s="2" t="s">
        <v>453</v>
      </c>
      <c r="C224" s="20">
        <v>0</v>
      </c>
      <c r="D224" s="20">
        <v>3</v>
      </c>
      <c r="E224" s="20">
        <v>0</v>
      </c>
      <c r="F224" s="20">
        <v>0</v>
      </c>
      <c r="G224" s="20">
        <v>0</v>
      </c>
      <c r="H224" s="20">
        <v>0</v>
      </c>
      <c r="I224" s="20">
        <v>0</v>
      </c>
    </row>
    <row r="225" spans="1:9" x14ac:dyDescent="0.3">
      <c r="A225" s="2" t="s">
        <v>454</v>
      </c>
      <c r="B225" s="2" t="s">
        <v>455</v>
      </c>
      <c r="C225" s="20">
        <v>0</v>
      </c>
      <c r="D225" s="20">
        <v>0</v>
      </c>
      <c r="E225" s="20">
        <v>0</v>
      </c>
      <c r="F225" s="20">
        <v>0</v>
      </c>
      <c r="G225" s="20">
        <v>0</v>
      </c>
      <c r="H225" s="20">
        <v>0</v>
      </c>
      <c r="I225" s="20">
        <v>0</v>
      </c>
    </row>
    <row r="226" spans="1:9" x14ac:dyDescent="0.3">
      <c r="A226" s="8" t="s">
        <v>456</v>
      </c>
      <c r="B226" s="8" t="s">
        <v>457</v>
      </c>
      <c r="C226" s="20">
        <v>0</v>
      </c>
      <c r="D226" s="20">
        <v>0</v>
      </c>
      <c r="E226" s="20">
        <v>0</v>
      </c>
      <c r="F226" s="20">
        <v>0</v>
      </c>
      <c r="G226" s="20">
        <v>5</v>
      </c>
      <c r="H226" s="20">
        <v>2</v>
      </c>
      <c r="I226" s="20">
        <v>0</v>
      </c>
    </row>
    <row r="227" spans="1:9" s="10" customFormat="1" ht="15" thickBot="1" x14ac:dyDescent="0.35">
      <c r="A227" s="9" t="s">
        <v>458</v>
      </c>
      <c r="B227" s="9" t="s">
        <v>459</v>
      </c>
      <c r="C227" s="21">
        <v>0</v>
      </c>
      <c r="D227" s="21">
        <v>0</v>
      </c>
      <c r="E227" s="21">
        <v>0</v>
      </c>
      <c r="F227" s="21">
        <v>0</v>
      </c>
      <c r="G227" s="21">
        <v>5</v>
      </c>
      <c r="H227" s="21">
        <v>2</v>
      </c>
      <c r="I227" s="21">
        <v>0</v>
      </c>
    </row>
    <row r="228" spans="1:9" x14ac:dyDescent="0.3">
      <c r="A228" s="3"/>
      <c r="B228" s="3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8BF95-292F-4EB4-A744-F681E06D3EB9}">
  <dimension ref="A1:AR231"/>
  <sheetViews>
    <sheetView topLeftCell="A29" workbookViewId="0">
      <pane xSplit="2" topLeftCell="K1" activePane="topRight" state="frozen"/>
      <selection pane="topRight" activeCell="U53" sqref="U53"/>
    </sheetView>
  </sheetViews>
  <sheetFormatPr baseColWidth="10" defaultRowHeight="14.4" x14ac:dyDescent="0.3"/>
  <cols>
    <col min="1" max="1" width="11.5546875" style="2"/>
    <col min="2" max="2" width="41.21875" style="2" customWidth="1"/>
    <col min="3" max="4" width="14.6640625" customWidth="1"/>
    <col min="5" max="5" width="19.33203125" customWidth="1"/>
    <col min="6" max="6" width="10" customWidth="1"/>
    <col min="7" max="7" width="20.5546875" customWidth="1"/>
    <col min="8" max="8" width="9.6640625" customWidth="1"/>
    <col min="9" max="9" width="18.44140625" bestFit="1" customWidth="1"/>
    <col min="11" max="11" width="19.33203125" customWidth="1"/>
    <col min="12" max="12" width="10.44140625" customWidth="1"/>
    <col min="14" max="14" width="8.77734375" customWidth="1"/>
    <col min="15" max="15" width="19.5546875" customWidth="1"/>
    <col min="16" max="16" width="10.109375" customWidth="1"/>
    <col min="17" max="17" width="16.6640625" customWidth="1"/>
    <col min="18" max="20" width="10.109375" customWidth="1"/>
    <col min="21" max="21" width="12.5546875" customWidth="1"/>
    <col min="22" max="40" width="10.109375" customWidth="1"/>
  </cols>
  <sheetData>
    <row r="1" spans="1:44" x14ac:dyDescent="0.3">
      <c r="A1" s="1" t="s">
        <v>0</v>
      </c>
      <c r="B1" s="1" t="s">
        <v>1</v>
      </c>
      <c r="C1" s="1" t="s">
        <v>478</v>
      </c>
      <c r="D1" s="49" t="s">
        <v>480</v>
      </c>
      <c r="E1" s="51" t="s">
        <v>460</v>
      </c>
      <c r="F1" s="52" t="s">
        <v>460</v>
      </c>
      <c r="G1" s="52" t="s">
        <v>460</v>
      </c>
      <c r="H1" s="53"/>
      <c r="I1" s="50" t="s">
        <v>466</v>
      </c>
      <c r="J1" s="33" t="s">
        <v>466</v>
      </c>
      <c r="K1" s="34" t="s">
        <v>466</v>
      </c>
      <c r="L1" s="35"/>
      <c r="M1" s="39" t="s">
        <v>476</v>
      </c>
      <c r="N1" s="40"/>
      <c r="O1" s="40"/>
      <c r="P1" s="41"/>
      <c r="Q1" s="26" t="s">
        <v>482</v>
      </c>
      <c r="R1" s="27"/>
      <c r="S1" s="27"/>
      <c r="T1" s="28"/>
      <c r="U1" s="26" t="s">
        <v>484</v>
      </c>
      <c r="V1" s="27"/>
      <c r="W1" s="27"/>
      <c r="X1" s="28"/>
      <c r="Y1" s="46" t="s">
        <v>485</v>
      </c>
      <c r="Z1" s="47"/>
      <c r="AA1" s="47"/>
      <c r="AB1" s="47"/>
      <c r="AC1" s="57" t="s">
        <v>486</v>
      </c>
      <c r="AD1" s="58"/>
      <c r="AE1" s="58"/>
      <c r="AF1" s="59"/>
      <c r="AG1" s="61" t="s">
        <v>487</v>
      </c>
      <c r="AH1" s="61"/>
      <c r="AI1" s="61"/>
      <c r="AJ1" s="61"/>
      <c r="AK1" s="62" t="s">
        <v>490</v>
      </c>
      <c r="AL1" s="63"/>
      <c r="AM1" s="63"/>
      <c r="AN1" s="64"/>
      <c r="AP1" s="12" t="s">
        <v>468</v>
      </c>
      <c r="AQ1" s="8" t="s">
        <v>469</v>
      </c>
      <c r="AR1" s="13" t="s">
        <v>470</v>
      </c>
    </row>
    <row r="2" spans="1:44" ht="15" thickBot="1" x14ac:dyDescent="0.35">
      <c r="A2" s="1">
        <v>0</v>
      </c>
      <c r="B2" s="1">
        <v>0</v>
      </c>
      <c r="C2" s="1"/>
      <c r="D2" s="49"/>
      <c r="E2" s="54" t="s">
        <v>461</v>
      </c>
      <c r="F2" s="55" t="s">
        <v>462</v>
      </c>
      <c r="G2" s="55" t="s">
        <v>463</v>
      </c>
      <c r="H2" s="56" t="s">
        <v>479</v>
      </c>
      <c r="I2" s="50" t="s">
        <v>461</v>
      </c>
      <c r="J2" s="36" t="s">
        <v>462</v>
      </c>
      <c r="K2" s="37" t="s">
        <v>463</v>
      </c>
      <c r="L2" s="38" t="s">
        <v>479</v>
      </c>
      <c r="M2" s="42" t="s">
        <v>461</v>
      </c>
      <c r="N2" s="43" t="s">
        <v>462</v>
      </c>
      <c r="O2" s="44" t="s">
        <v>463</v>
      </c>
      <c r="P2" s="45" t="s">
        <v>479</v>
      </c>
      <c r="Q2" s="29" t="s">
        <v>461</v>
      </c>
      <c r="R2" s="30" t="s">
        <v>462</v>
      </c>
      <c r="S2" s="31" t="s">
        <v>463</v>
      </c>
      <c r="T2" s="32" t="s">
        <v>479</v>
      </c>
      <c r="U2" s="29" t="s">
        <v>461</v>
      </c>
      <c r="V2" s="30" t="s">
        <v>462</v>
      </c>
      <c r="W2" s="31" t="s">
        <v>463</v>
      </c>
      <c r="X2" s="32" t="s">
        <v>479</v>
      </c>
      <c r="Y2" s="36" t="s">
        <v>461</v>
      </c>
      <c r="Z2" s="37" t="s">
        <v>462</v>
      </c>
      <c r="AA2" s="48" t="s">
        <v>463</v>
      </c>
      <c r="AB2" s="48" t="s">
        <v>479</v>
      </c>
      <c r="AC2" s="54" t="s">
        <v>461</v>
      </c>
      <c r="AD2" s="55" t="s">
        <v>462</v>
      </c>
      <c r="AE2" s="60" t="s">
        <v>463</v>
      </c>
      <c r="AF2" s="56" t="s">
        <v>479</v>
      </c>
      <c r="AG2" s="54" t="s">
        <v>461</v>
      </c>
      <c r="AH2" s="55" t="s">
        <v>462</v>
      </c>
      <c r="AI2" s="60" t="s">
        <v>463</v>
      </c>
      <c r="AJ2" s="60" t="s">
        <v>479</v>
      </c>
      <c r="AK2" s="65" t="s">
        <v>461</v>
      </c>
      <c r="AL2" s="66" t="s">
        <v>462</v>
      </c>
      <c r="AM2" s="67" t="s">
        <v>463</v>
      </c>
      <c r="AN2" s="68" t="s">
        <v>479</v>
      </c>
      <c r="AP2" s="14"/>
      <c r="AQ2" s="3"/>
      <c r="AR2" s="15"/>
    </row>
    <row r="3" spans="1:44" x14ac:dyDescent="0.3">
      <c r="A3" s="3" t="s">
        <v>11</v>
      </c>
      <c r="B3" s="3" t="s">
        <v>12</v>
      </c>
      <c r="C3">
        <v>1.7459999999999999E-3</v>
      </c>
      <c r="D3">
        <v>1.7464503396845911E-3</v>
      </c>
      <c r="E3" s="18">
        <v>1.7464503396845911E-3</v>
      </c>
      <c r="F3" s="18">
        <v>0.6</v>
      </c>
      <c r="G3" s="18">
        <f>+E3*$F$3</f>
        <v>1.0478702038107545E-3</v>
      </c>
      <c r="H3" s="18">
        <f>+E3/D3</f>
        <v>1</v>
      </c>
      <c r="I3" s="18"/>
      <c r="J3" s="18">
        <v>0.5</v>
      </c>
      <c r="K3" s="18">
        <f>I3*$J$3</f>
        <v>0</v>
      </c>
      <c r="L3" s="18">
        <f>+I3/D3</f>
        <v>0</v>
      </c>
      <c r="M3" s="18"/>
      <c r="N3" s="18">
        <v>0.25</v>
      </c>
      <c r="O3" s="18">
        <f>+M3*$N$3</f>
        <v>0</v>
      </c>
      <c r="P3" s="18">
        <f>+M3/D3</f>
        <v>0</v>
      </c>
      <c r="Q3" s="18"/>
      <c r="R3" s="18">
        <v>0.3</v>
      </c>
      <c r="S3" s="18">
        <f>+Q3*$R$3</f>
        <v>0</v>
      </c>
      <c r="T3" s="18">
        <f>+Q3/D3</f>
        <v>0</v>
      </c>
      <c r="U3" s="18"/>
      <c r="V3" s="18">
        <v>0.4</v>
      </c>
      <c r="W3" s="18">
        <f>+U3*$V$3</f>
        <v>0</v>
      </c>
      <c r="X3" s="18">
        <f>+U3/D3</f>
        <v>0</v>
      </c>
      <c r="Y3" s="18"/>
      <c r="Z3" s="18">
        <v>0.5</v>
      </c>
      <c r="AA3" s="18">
        <f>+Y3*$Z$3</f>
        <v>0</v>
      </c>
      <c r="AB3" s="18">
        <f>+Y3/D3</f>
        <v>0</v>
      </c>
      <c r="AC3" s="18"/>
      <c r="AD3" s="18">
        <v>0.5</v>
      </c>
      <c r="AE3" s="18">
        <f>+AC3*$AD$3</f>
        <v>0</v>
      </c>
      <c r="AF3" s="18">
        <f>+AC3/D3</f>
        <v>0</v>
      </c>
      <c r="AG3" s="18"/>
      <c r="AH3" s="18">
        <v>0.8</v>
      </c>
      <c r="AI3" s="18">
        <f>+AG3*$AH$3</f>
        <v>0</v>
      </c>
      <c r="AJ3" s="18">
        <f>+AG3/D3</f>
        <v>0</v>
      </c>
      <c r="AK3" s="18"/>
      <c r="AL3" s="18">
        <v>0.4</v>
      </c>
      <c r="AM3" s="18">
        <f>+AK3*$AL$3</f>
        <v>0</v>
      </c>
      <c r="AN3" s="18">
        <f>+AK3/D3</f>
        <v>0</v>
      </c>
      <c r="AP3" s="18">
        <f>SUM(E3,M3)</f>
        <v>1.7464503396845911E-3</v>
      </c>
      <c r="AQ3">
        <f>AVERAGE(G3,K3)</f>
        <v>5.2393510190537726E-4</v>
      </c>
      <c r="AR3" s="18">
        <f>MEDIAN(G3,K3)</f>
        <v>5.2393510190537726E-4</v>
      </c>
    </row>
    <row r="4" spans="1:44" x14ac:dyDescent="0.3">
      <c r="A4" s="2" t="s">
        <v>13</v>
      </c>
      <c r="B4" s="2" t="s">
        <v>14</v>
      </c>
      <c r="C4">
        <v>2.5509999999999999E-3</v>
      </c>
      <c r="D4">
        <v>2.5524762879584359E-3</v>
      </c>
      <c r="E4" s="18"/>
      <c r="F4" s="18"/>
      <c r="G4" s="18">
        <f t="shared" ref="G4:G67" si="0">+E4*$F$3</f>
        <v>0</v>
      </c>
      <c r="H4" s="18">
        <f t="shared" ref="H4:H67" si="1">+E4/D4</f>
        <v>0</v>
      </c>
      <c r="I4" s="18"/>
      <c r="J4" s="18"/>
      <c r="K4" s="18">
        <f t="shared" ref="K4:K67" si="2">I4*$J$3</f>
        <v>0</v>
      </c>
      <c r="L4" s="18">
        <f t="shared" ref="L4:L67" si="3">+I4/D4</f>
        <v>0</v>
      </c>
      <c r="M4" s="18"/>
      <c r="N4" s="18"/>
      <c r="O4" s="18">
        <f t="shared" ref="O4:O34" si="4">+M4*$N$3</f>
        <v>0</v>
      </c>
      <c r="P4" s="18">
        <f t="shared" ref="P4:P67" si="5">+M4/D4</f>
        <v>0</v>
      </c>
      <c r="Q4" s="18"/>
      <c r="R4" s="18"/>
      <c r="S4" s="18">
        <f t="shared" ref="S4:S67" si="6">+Q4*$R$3</f>
        <v>0</v>
      </c>
      <c r="T4" s="18">
        <f t="shared" ref="T4:T67" si="7">+Q4/D4</f>
        <v>0</v>
      </c>
      <c r="U4" s="18"/>
      <c r="V4" s="18"/>
      <c r="W4" s="18">
        <f t="shared" ref="W4:W67" si="8">+U4*$V$3</f>
        <v>0</v>
      </c>
      <c r="X4" s="18">
        <f t="shared" ref="X4:X67" si="9">+U4/D4</f>
        <v>0</v>
      </c>
      <c r="Y4" s="18"/>
      <c r="Z4" s="18"/>
      <c r="AA4" s="18">
        <f t="shared" ref="AA4:AA67" si="10">+Y4*$Z$3</f>
        <v>0</v>
      </c>
      <c r="AB4" s="18">
        <f t="shared" ref="AB4:AB67" si="11">+Y4/D4</f>
        <v>0</v>
      </c>
      <c r="AC4" s="18"/>
      <c r="AD4" s="18"/>
      <c r="AE4" s="18">
        <f t="shared" ref="AE4:AE67" si="12">+AC4*$AD$3</f>
        <v>0</v>
      </c>
      <c r="AF4" s="18">
        <f t="shared" ref="AF4:AF67" si="13">+AC4/D4</f>
        <v>0</v>
      </c>
      <c r="AG4" s="18"/>
      <c r="AH4" s="18"/>
      <c r="AI4" s="18">
        <f t="shared" ref="AI4:AI67" si="14">+AG4*$AH$3</f>
        <v>0</v>
      </c>
      <c r="AJ4" s="18">
        <f t="shared" ref="AJ4:AJ67" si="15">+AG4/D4</f>
        <v>0</v>
      </c>
      <c r="AK4" s="18"/>
      <c r="AL4" s="18"/>
      <c r="AM4" s="18">
        <f t="shared" ref="AM4:AM67" si="16">+AK4*$AL$3</f>
        <v>0</v>
      </c>
      <c r="AN4" s="18">
        <f t="shared" ref="AN4:AN67" si="17">+AK4/D4</f>
        <v>0</v>
      </c>
      <c r="AP4">
        <f t="shared" ref="AP4:AP67" si="18">SUM(G4,K4)</f>
        <v>0</v>
      </c>
      <c r="AQ4">
        <f t="shared" ref="AQ4:AQ67" si="19">AVERAGE(G4,K4)</f>
        <v>0</v>
      </c>
      <c r="AR4">
        <f t="shared" ref="AR4:AR67" si="20">MEDIAN(G4,K4)</f>
        <v>0</v>
      </c>
    </row>
    <row r="5" spans="1:44" x14ac:dyDescent="0.3">
      <c r="A5" s="2" t="s">
        <v>15</v>
      </c>
      <c r="B5" s="2" t="s">
        <v>16</v>
      </c>
      <c r="C5">
        <v>3.9999999999999998E-6</v>
      </c>
      <c r="D5">
        <v>1.5966364192767238E-5</v>
      </c>
      <c r="E5" s="18"/>
      <c r="F5" s="18"/>
      <c r="G5" s="18">
        <f t="shared" si="0"/>
        <v>0</v>
      </c>
      <c r="H5" s="18">
        <f t="shared" si="1"/>
        <v>0</v>
      </c>
      <c r="I5" s="18"/>
      <c r="J5" s="18"/>
      <c r="K5" s="18">
        <f t="shared" si="2"/>
        <v>0</v>
      </c>
      <c r="L5" s="18">
        <f t="shared" si="3"/>
        <v>0</v>
      </c>
      <c r="M5" s="18"/>
      <c r="N5" s="18"/>
      <c r="O5" s="18">
        <f t="shared" si="4"/>
        <v>0</v>
      </c>
      <c r="P5" s="18">
        <f t="shared" si="5"/>
        <v>0</v>
      </c>
      <c r="Q5" s="18"/>
      <c r="R5" s="18"/>
      <c r="S5" s="18">
        <f t="shared" si="6"/>
        <v>0</v>
      </c>
      <c r="T5" s="18">
        <f t="shared" si="7"/>
        <v>0</v>
      </c>
      <c r="U5" s="18"/>
      <c r="V5" s="18"/>
      <c r="W5" s="18">
        <f t="shared" si="8"/>
        <v>0</v>
      </c>
      <c r="X5" s="18">
        <f t="shared" si="9"/>
        <v>0</v>
      </c>
      <c r="Y5" s="18"/>
      <c r="Z5" s="18"/>
      <c r="AA5" s="18">
        <f t="shared" si="10"/>
        <v>0</v>
      </c>
      <c r="AB5" s="18">
        <f t="shared" si="11"/>
        <v>0</v>
      </c>
      <c r="AC5" s="18"/>
      <c r="AD5" s="18"/>
      <c r="AE5" s="18">
        <f t="shared" si="12"/>
        <v>0</v>
      </c>
      <c r="AF5" s="18">
        <f t="shared" si="13"/>
        <v>0</v>
      </c>
      <c r="AG5" s="18"/>
      <c r="AH5" s="18"/>
      <c r="AI5" s="18">
        <f t="shared" si="14"/>
        <v>0</v>
      </c>
      <c r="AJ5" s="18">
        <f t="shared" si="15"/>
        <v>0</v>
      </c>
      <c r="AK5" s="18"/>
      <c r="AL5" s="18"/>
      <c r="AM5" s="18">
        <f t="shared" si="16"/>
        <v>0</v>
      </c>
      <c r="AN5" s="18">
        <f t="shared" si="17"/>
        <v>0</v>
      </c>
      <c r="AP5">
        <f t="shared" si="18"/>
        <v>0</v>
      </c>
      <c r="AQ5">
        <f t="shared" si="19"/>
        <v>0</v>
      </c>
      <c r="AR5">
        <f t="shared" si="20"/>
        <v>0</v>
      </c>
    </row>
    <row r="6" spans="1:44" x14ac:dyDescent="0.3">
      <c r="A6" s="2" t="s">
        <v>17</v>
      </c>
      <c r="B6" s="2" t="s">
        <v>18</v>
      </c>
      <c r="C6">
        <v>2.114E-3</v>
      </c>
      <c r="D6">
        <v>5.457917990052792E-3</v>
      </c>
      <c r="E6" s="18"/>
      <c r="F6" s="18"/>
      <c r="G6" s="18">
        <f t="shared" si="0"/>
        <v>0</v>
      </c>
      <c r="H6" s="18">
        <f t="shared" si="1"/>
        <v>0</v>
      </c>
      <c r="I6" s="18"/>
      <c r="J6" s="18"/>
      <c r="K6" s="18">
        <f t="shared" si="2"/>
        <v>0</v>
      </c>
      <c r="L6" s="18">
        <f t="shared" si="3"/>
        <v>0</v>
      </c>
      <c r="M6" s="18"/>
      <c r="N6" s="18"/>
      <c r="O6" s="18">
        <f t="shared" si="4"/>
        <v>0</v>
      </c>
      <c r="P6" s="18">
        <f t="shared" si="5"/>
        <v>0</v>
      </c>
      <c r="Q6" s="18"/>
      <c r="R6" s="18"/>
      <c r="S6" s="18">
        <f t="shared" si="6"/>
        <v>0</v>
      </c>
      <c r="T6" s="18">
        <f t="shared" si="7"/>
        <v>0</v>
      </c>
      <c r="U6" s="18"/>
      <c r="V6" s="18"/>
      <c r="W6" s="18">
        <f t="shared" si="8"/>
        <v>0</v>
      </c>
      <c r="X6" s="18">
        <f t="shared" si="9"/>
        <v>0</v>
      </c>
      <c r="Y6" s="18"/>
      <c r="Z6" s="18"/>
      <c r="AA6" s="18">
        <f t="shared" si="10"/>
        <v>0</v>
      </c>
      <c r="AB6" s="18">
        <f t="shared" si="11"/>
        <v>0</v>
      </c>
      <c r="AC6" s="18"/>
      <c r="AD6" s="18"/>
      <c r="AE6" s="18">
        <f t="shared" si="12"/>
        <v>0</v>
      </c>
      <c r="AF6" s="18">
        <f t="shared" si="13"/>
        <v>0</v>
      </c>
      <c r="AG6" s="18"/>
      <c r="AH6" s="18"/>
      <c r="AI6" s="18">
        <f t="shared" si="14"/>
        <v>0</v>
      </c>
      <c r="AJ6" s="18">
        <f t="shared" si="15"/>
        <v>0</v>
      </c>
      <c r="AK6" s="18"/>
      <c r="AL6" s="18"/>
      <c r="AM6" s="18">
        <f t="shared" si="16"/>
        <v>0</v>
      </c>
      <c r="AN6" s="18">
        <f t="shared" si="17"/>
        <v>0</v>
      </c>
      <c r="AP6">
        <f t="shared" si="18"/>
        <v>0</v>
      </c>
      <c r="AQ6">
        <f t="shared" si="19"/>
        <v>0</v>
      </c>
      <c r="AR6">
        <f t="shared" si="20"/>
        <v>0</v>
      </c>
    </row>
    <row r="7" spans="1:44" x14ac:dyDescent="0.3">
      <c r="A7" s="2" t="s">
        <v>19</v>
      </c>
      <c r="B7" s="2" t="s">
        <v>20</v>
      </c>
      <c r="C7">
        <v>1.7570000000000001E-3</v>
      </c>
      <c r="D7">
        <v>1.095485518134995E-2</v>
      </c>
      <c r="E7" s="18"/>
      <c r="F7" s="18"/>
      <c r="G7" s="18">
        <f t="shared" si="0"/>
        <v>0</v>
      </c>
      <c r="H7" s="18">
        <f t="shared" si="1"/>
        <v>0</v>
      </c>
      <c r="I7" s="18"/>
      <c r="J7" s="18"/>
      <c r="K7" s="18">
        <f t="shared" si="2"/>
        <v>0</v>
      </c>
      <c r="L7" s="18">
        <f t="shared" si="3"/>
        <v>0</v>
      </c>
      <c r="M7" s="18"/>
      <c r="N7" s="18"/>
      <c r="O7" s="18">
        <f t="shared" si="4"/>
        <v>0</v>
      </c>
      <c r="P7" s="18">
        <f t="shared" si="5"/>
        <v>0</v>
      </c>
      <c r="Q7" s="18"/>
      <c r="R7" s="18"/>
      <c r="S7" s="18">
        <f t="shared" si="6"/>
        <v>0</v>
      </c>
      <c r="T7" s="18">
        <f t="shared" si="7"/>
        <v>0</v>
      </c>
      <c r="U7" s="18"/>
      <c r="V7" s="18"/>
      <c r="W7" s="18">
        <f t="shared" si="8"/>
        <v>0</v>
      </c>
      <c r="X7" s="18">
        <f t="shared" si="9"/>
        <v>0</v>
      </c>
      <c r="Y7" s="18"/>
      <c r="Z7" s="18"/>
      <c r="AA7" s="18">
        <f t="shared" si="10"/>
        <v>0</v>
      </c>
      <c r="AB7" s="18">
        <f t="shared" si="11"/>
        <v>0</v>
      </c>
      <c r="AC7" s="18"/>
      <c r="AD7" s="18"/>
      <c r="AE7" s="18">
        <f t="shared" si="12"/>
        <v>0</v>
      </c>
      <c r="AF7" s="18">
        <f t="shared" si="13"/>
        <v>0</v>
      </c>
      <c r="AG7" s="18"/>
      <c r="AH7" s="18"/>
      <c r="AI7" s="18">
        <f t="shared" si="14"/>
        <v>0</v>
      </c>
      <c r="AJ7" s="18">
        <f t="shared" si="15"/>
        <v>0</v>
      </c>
      <c r="AK7" s="18"/>
      <c r="AL7" s="18"/>
      <c r="AM7" s="18">
        <f t="shared" si="16"/>
        <v>0</v>
      </c>
      <c r="AN7" s="18">
        <f t="shared" si="17"/>
        <v>0</v>
      </c>
      <c r="AP7">
        <f t="shared" si="18"/>
        <v>0</v>
      </c>
      <c r="AQ7">
        <f t="shared" si="19"/>
        <v>0</v>
      </c>
      <c r="AR7">
        <f t="shared" si="20"/>
        <v>0</v>
      </c>
    </row>
    <row r="8" spans="1:44" x14ac:dyDescent="0.3">
      <c r="A8" s="2" t="s">
        <v>21</v>
      </c>
      <c r="B8" s="2" t="s">
        <v>22</v>
      </c>
      <c r="C8">
        <v>5.8250000000000003E-3</v>
      </c>
      <c r="D8">
        <v>8.0171915619154568E-3</v>
      </c>
      <c r="E8" s="18">
        <v>2.3286004529127886E-3</v>
      </c>
      <c r="F8" s="18"/>
      <c r="G8" s="18">
        <f t="shared" si="0"/>
        <v>1.3971602717476731E-3</v>
      </c>
      <c r="H8" s="18">
        <f t="shared" si="1"/>
        <v>0.29045089354911741</v>
      </c>
      <c r="I8" s="18"/>
      <c r="J8" s="18"/>
      <c r="K8" s="18">
        <f t="shared" si="2"/>
        <v>0</v>
      </c>
      <c r="L8" s="18">
        <f t="shared" si="3"/>
        <v>0</v>
      </c>
      <c r="M8" s="18"/>
      <c r="N8" s="18"/>
      <c r="O8" s="18">
        <f t="shared" si="4"/>
        <v>0</v>
      </c>
      <c r="P8" s="18">
        <f t="shared" si="5"/>
        <v>0</v>
      </c>
      <c r="Q8" s="18"/>
      <c r="R8" s="18"/>
      <c r="S8" s="18">
        <f t="shared" si="6"/>
        <v>0</v>
      </c>
      <c r="T8" s="18">
        <f t="shared" si="7"/>
        <v>0</v>
      </c>
      <c r="U8" s="18"/>
      <c r="V8" s="18"/>
      <c r="W8" s="18">
        <f t="shared" si="8"/>
        <v>0</v>
      </c>
      <c r="X8" s="18">
        <f t="shared" si="9"/>
        <v>0</v>
      </c>
      <c r="Y8" s="18"/>
      <c r="Z8" s="18"/>
      <c r="AA8" s="18">
        <f t="shared" si="10"/>
        <v>0</v>
      </c>
      <c r="AB8" s="18">
        <f t="shared" si="11"/>
        <v>0</v>
      </c>
      <c r="AC8" s="18"/>
      <c r="AD8" s="18"/>
      <c r="AE8" s="18">
        <f t="shared" si="12"/>
        <v>0</v>
      </c>
      <c r="AF8" s="18">
        <f t="shared" si="13"/>
        <v>0</v>
      </c>
      <c r="AG8" s="18"/>
      <c r="AH8" s="18"/>
      <c r="AI8" s="18">
        <f t="shared" si="14"/>
        <v>0</v>
      </c>
      <c r="AJ8" s="18">
        <f t="shared" si="15"/>
        <v>0</v>
      </c>
      <c r="AK8" s="18"/>
      <c r="AL8" s="18"/>
      <c r="AM8" s="18">
        <f t="shared" si="16"/>
        <v>0</v>
      </c>
      <c r="AN8" s="18">
        <f t="shared" si="17"/>
        <v>0</v>
      </c>
      <c r="AP8">
        <f t="shared" si="18"/>
        <v>1.3971602717476731E-3</v>
      </c>
      <c r="AQ8">
        <f t="shared" si="19"/>
        <v>6.9858013587383657E-4</v>
      </c>
      <c r="AR8">
        <f t="shared" si="20"/>
        <v>6.9858013587383657E-4</v>
      </c>
    </row>
    <row r="9" spans="1:44" x14ac:dyDescent="0.3">
      <c r="A9" s="2" t="s">
        <v>23</v>
      </c>
      <c r="B9" s="2" t="s">
        <v>24</v>
      </c>
      <c r="C9">
        <v>6.3624E-2</v>
      </c>
      <c r="D9">
        <v>7.5563403088410488E-2</v>
      </c>
      <c r="E9" s="18">
        <v>8.1501015851947592E-2</v>
      </c>
      <c r="F9" s="18"/>
      <c r="G9" s="18">
        <f t="shared" si="0"/>
        <v>4.8900609511168557E-2</v>
      </c>
      <c r="H9" s="18">
        <f t="shared" si="1"/>
        <v>1.0785778898363008</v>
      </c>
      <c r="I9" s="18">
        <v>0.26470454545454541</v>
      </c>
      <c r="J9" s="18"/>
      <c r="K9" s="18">
        <f t="shared" si="2"/>
        <v>0.13235227272727271</v>
      </c>
      <c r="L9" s="18">
        <f t="shared" si="3"/>
        <v>3.5030786681859274</v>
      </c>
      <c r="M9" s="18">
        <v>5.9889354819406347E-2</v>
      </c>
      <c r="N9" s="18"/>
      <c r="O9" s="18">
        <f t="shared" si="4"/>
        <v>1.4972338704851587E-2</v>
      </c>
      <c r="P9" s="18">
        <f t="shared" si="5"/>
        <v>0.79257090564508814</v>
      </c>
      <c r="Q9" s="18">
        <v>9.5326964776015211E-2</v>
      </c>
      <c r="R9" s="18"/>
      <c r="S9" s="18">
        <f t="shared" si="6"/>
        <v>2.8598089432804563E-2</v>
      </c>
      <c r="T9" s="18">
        <f t="shared" si="7"/>
        <v>1.2615493860762335</v>
      </c>
      <c r="U9">
        <v>0.14685355611804468</v>
      </c>
      <c r="V9" s="18"/>
      <c r="W9" s="18">
        <f t="shared" si="8"/>
        <v>5.8741422447217875E-2</v>
      </c>
      <c r="X9" s="18">
        <f t="shared" si="9"/>
        <v>1.9434481523578746</v>
      </c>
      <c r="Y9" s="18">
        <v>0.21127333162042355</v>
      </c>
      <c r="Z9" s="18"/>
      <c r="AA9" s="18">
        <f t="shared" si="10"/>
        <v>0.10563666581021178</v>
      </c>
      <c r="AB9" s="18">
        <f t="shared" si="11"/>
        <v>2.795974281005186</v>
      </c>
      <c r="AC9" s="18">
        <v>0.16354881623715284</v>
      </c>
      <c r="AD9" s="18"/>
      <c r="AE9" s="18">
        <f t="shared" si="12"/>
        <v>8.1774408118576419E-2</v>
      </c>
      <c r="AF9" s="18">
        <f t="shared" si="13"/>
        <v>2.1643918822157584</v>
      </c>
      <c r="AG9" s="18">
        <v>6.8143230669971799E-2</v>
      </c>
      <c r="AH9" s="18"/>
      <c r="AI9" s="18">
        <f t="shared" si="14"/>
        <v>5.4514584535977441E-2</v>
      </c>
      <c r="AJ9" s="18">
        <f t="shared" si="15"/>
        <v>0.90180203491157007</v>
      </c>
      <c r="AK9" s="18">
        <v>5.799839280208946E-2</v>
      </c>
      <c r="AL9" s="18"/>
      <c r="AM9" s="18">
        <f t="shared" si="16"/>
        <v>2.3199357120835786E-2</v>
      </c>
      <c r="AN9" s="18">
        <f t="shared" si="17"/>
        <v>0.76754606637065215</v>
      </c>
      <c r="AP9">
        <f t="shared" si="18"/>
        <v>0.18125288223844127</v>
      </c>
      <c r="AQ9">
        <f t="shared" si="19"/>
        <v>9.0626441119220635E-2</v>
      </c>
      <c r="AR9">
        <f t="shared" si="20"/>
        <v>9.0626441119220635E-2</v>
      </c>
    </row>
    <row r="10" spans="1:44" x14ac:dyDescent="0.3">
      <c r="A10" s="2" t="s">
        <v>25</v>
      </c>
      <c r="B10" s="2" t="s">
        <v>26</v>
      </c>
      <c r="C10">
        <v>1.8599999999999999E-4</v>
      </c>
      <c r="D10">
        <v>1.8632900902653511E-4</v>
      </c>
      <c r="E10" s="18"/>
      <c r="F10" s="18"/>
      <c r="G10" s="18">
        <f t="shared" si="0"/>
        <v>0</v>
      </c>
      <c r="H10" s="18">
        <f t="shared" si="1"/>
        <v>0</v>
      </c>
      <c r="I10" s="18"/>
      <c r="J10" s="18"/>
      <c r="K10" s="18">
        <f t="shared" si="2"/>
        <v>0</v>
      </c>
      <c r="L10" s="18">
        <f t="shared" si="3"/>
        <v>0</v>
      </c>
      <c r="M10" s="18"/>
      <c r="N10" s="18"/>
      <c r="O10" s="18">
        <f t="shared" si="4"/>
        <v>0</v>
      </c>
      <c r="P10" s="18">
        <f t="shared" si="5"/>
        <v>0</v>
      </c>
      <c r="Q10" s="18"/>
      <c r="R10" s="18"/>
      <c r="S10" s="18">
        <f t="shared" si="6"/>
        <v>0</v>
      </c>
      <c r="T10" s="18">
        <f t="shared" si="7"/>
        <v>0</v>
      </c>
      <c r="U10" s="18"/>
      <c r="V10" s="18"/>
      <c r="W10" s="18">
        <f t="shared" si="8"/>
        <v>0</v>
      </c>
      <c r="X10" s="18">
        <f t="shared" si="9"/>
        <v>0</v>
      </c>
      <c r="Y10" s="18"/>
      <c r="Z10" s="18"/>
      <c r="AA10" s="18">
        <f t="shared" si="10"/>
        <v>0</v>
      </c>
      <c r="AB10" s="18">
        <f t="shared" si="11"/>
        <v>0</v>
      </c>
      <c r="AC10" s="18"/>
      <c r="AD10" s="18"/>
      <c r="AE10" s="18">
        <f t="shared" si="12"/>
        <v>0</v>
      </c>
      <c r="AF10" s="18">
        <f t="shared" si="13"/>
        <v>0</v>
      </c>
      <c r="AG10" s="18"/>
      <c r="AH10" s="18"/>
      <c r="AI10" s="18">
        <f t="shared" si="14"/>
        <v>0</v>
      </c>
      <c r="AJ10" s="18">
        <f t="shared" si="15"/>
        <v>0</v>
      </c>
      <c r="AK10" s="18"/>
      <c r="AL10" s="18"/>
      <c r="AM10" s="18">
        <f t="shared" si="16"/>
        <v>0</v>
      </c>
      <c r="AN10" s="18">
        <f t="shared" si="17"/>
        <v>0</v>
      </c>
      <c r="AP10">
        <f t="shared" si="18"/>
        <v>0</v>
      </c>
      <c r="AQ10">
        <f t="shared" si="19"/>
        <v>0</v>
      </c>
      <c r="AR10">
        <f t="shared" si="20"/>
        <v>0</v>
      </c>
    </row>
    <row r="11" spans="1:44" x14ac:dyDescent="0.3">
      <c r="A11" s="2" t="s">
        <v>27</v>
      </c>
      <c r="B11" s="2" t="s">
        <v>28</v>
      </c>
      <c r="C11">
        <v>1.0250000000000001E-3</v>
      </c>
      <c r="D11">
        <v>1.6621991691756707E-3</v>
      </c>
      <c r="E11" s="18"/>
      <c r="F11" s="18"/>
      <c r="G11" s="18">
        <f t="shared" si="0"/>
        <v>0</v>
      </c>
      <c r="H11" s="18">
        <f t="shared" si="1"/>
        <v>0</v>
      </c>
      <c r="I11" s="18"/>
      <c r="J11" s="18"/>
      <c r="K11" s="18">
        <f t="shared" si="2"/>
        <v>0</v>
      </c>
      <c r="L11" s="18">
        <f t="shared" si="3"/>
        <v>0</v>
      </c>
      <c r="M11" s="18"/>
      <c r="N11" s="18"/>
      <c r="O11" s="18">
        <f t="shared" si="4"/>
        <v>0</v>
      </c>
      <c r="P11" s="18">
        <f t="shared" si="5"/>
        <v>0</v>
      </c>
      <c r="Q11" s="18"/>
      <c r="R11" s="18"/>
      <c r="S11" s="18">
        <f t="shared" si="6"/>
        <v>0</v>
      </c>
      <c r="T11" s="18">
        <f t="shared" si="7"/>
        <v>0</v>
      </c>
      <c r="U11" s="18"/>
      <c r="V11" s="18"/>
      <c r="W11" s="18">
        <f t="shared" si="8"/>
        <v>0</v>
      </c>
      <c r="X11" s="18">
        <f t="shared" si="9"/>
        <v>0</v>
      </c>
      <c r="Y11" s="18"/>
      <c r="Z11" s="18"/>
      <c r="AA11" s="18">
        <f t="shared" si="10"/>
        <v>0</v>
      </c>
      <c r="AB11" s="18">
        <f t="shared" si="11"/>
        <v>0</v>
      </c>
      <c r="AC11" s="18"/>
      <c r="AD11" s="18"/>
      <c r="AE11" s="18">
        <f t="shared" si="12"/>
        <v>0</v>
      </c>
      <c r="AF11" s="18">
        <f t="shared" si="13"/>
        <v>0</v>
      </c>
      <c r="AG11" s="18"/>
      <c r="AH11" s="18"/>
      <c r="AI11" s="18">
        <f t="shared" si="14"/>
        <v>0</v>
      </c>
      <c r="AJ11" s="18">
        <f t="shared" si="15"/>
        <v>0</v>
      </c>
      <c r="AK11" s="18"/>
      <c r="AL11" s="18"/>
      <c r="AM11" s="18">
        <f t="shared" si="16"/>
        <v>0</v>
      </c>
      <c r="AN11" s="18">
        <f t="shared" si="17"/>
        <v>0</v>
      </c>
      <c r="AP11">
        <f t="shared" si="18"/>
        <v>0</v>
      </c>
      <c r="AQ11">
        <f t="shared" si="19"/>
        <v>0</v>
      </c>
      <c r="AR11">
        <f t="shared" si="20"/>
        <v>0</v>
      </c>
    </row>
    <row r="12" spans="1:44" x14ac:dyDescent="0.3">
      <c r="A12" s="2" t="s">
        <v>29</v>
      </c>
      <c r="B12" s="2" t="s">
        <v>30</v>
      </c>
      <c r="C12">
        <v>3.7669999999999999E-3</v>
      </c>
      <c r="D12">
        <v>3.3964943044542456E-3</v>
      </c>
      <c r="E12" s="18"/>
      <c r="F12" s="18"/>
      <c r="G12" s="18">
        <f t="shared" si="0"/>
        <v>0</v>
      </c>
      <c r="H12" s="18">
        <f t="shared" si="1"/>
        <v>0</v>
      </c>
      <c r="I12" s="18"/>
      <c r="J12" s="18"/>
      <c r="K12" s="18">
        <f t="shared" si="2"/>
        <v>0</v>
      </c>
      <c r="L12" s="18">
        <f t="shared" si="3"/>
        <v>0</v>
      </c>
      <c r="M12" s="18">
        <v>6.9988728315304827E-4</v>
      </c>
      <c r="N12" s="18"/>
      <c r="O12" s="18">
        <f t="shared" si="4"/>
        <v>1.7497182078826207E-4</v>
      </c>
      <c r="P12" s="18">
        <f t="shared" si="5"/>
        <v>0.20606166841946386</v>
      </c>
      <c r="Q12" s="18"/>
      <c r="R12" s="18"/>
      <c r="S12" s="18">
        <f t="shared" si="6"/>
        <v>0</v>
      </c>
      <c r="T12" s="18">
        <f t="shared" si="7"/>
        <v>0</v>
      </c>
      <c r="U12" s="18"/>
      <c r="V12" s="18"/>
      <c r="W12" s="18">
        <f t="shared" si="8"/>
        <v>0</v>
      </c>
      <c r="X12" s="18">
        <f t="shared" si="9"/>
        <v>0</v>
      </c>
      <c r="Y12" s="18"/>
      <c r="Z12" s="18"/>
      <c r="AA12" s="18">
        <f t="shared" si="10"/>
        <v>0</v>
      </c>
      <c r="AB12" s="18">
        <f t="shared" si="11"/>
        <v>0</v>
      </c>
      <c r="AC12" s="18"/>
      <c r="AD12" s="18"/>
      <c r="AE12" s="18">
        <f t="shared" si="12"/>
        <v>0</v>
      </c>
      <c r="AF12" s="18">
        <f t="shared" si="13"/>
        <v>0</v>
      </c>
      <c r="AG12" s="18"/>
      <c r="AH12" s="18"/>
      <c r="AI12" s="18">
        <f t="shared" si="14"/>
        <v>0</v>
      </c>
      <c r="AJ12" s="18">
        <f t="shared" si="15"/>
        <v>0</v>
      </c>
      <c r="AK12" s="18"/>
      <c r="AL12" s="18"/>
      <c r="AM12" s="18">
        <f t="shared" si="16"/>
        <v>0</v>
      </c>
      <c r="AN12" s="18">
        <f t="shared" si="17"/>
        <v>0</v>
      </c>
      <c r="AP12">
        <f t="shared" si="18"/>
        <v>0</v>
      </c>
      <c r="AQ12">
        <f t="shared" si="19"/>
        <v>0</v>
      </c>
      <c r="AR12">
        <f t="shared" si="20"/>
        <v>0</v>
      </c>
    </row>
    <row r="13" spans="1:44" x14ac:dyDescent="0.3">
      <c r="A13" s="2" t="s">
        <v>31</v>
      </c>
      <c r="B13" s="2" t="s">
        <v>32</v>
      </c>
      <c r="C13">
        <v>3.091E-3</v>
      </c>
      <c r="D13">
        <v>3.1574924869406081E-3</v>
      </c>
      <c r="E13" s="18"/>
      <c r="F13" s="18"/>
      <c r="G13" s="18">
        <f t="shared" si="0"/>
        <v>0</v>
      </c>
      <c r="H13" s="18">
        <f t="shared" si="1"/>
        <v>0</v>
      </c>
      <c r="I13" s="18"/>
      <c r="J13" s="18"/>
      <c r="K13" s="18">
        <f t="shared" si="2"/>
        <v>0</v>
      </c>
      <c r="L13" s="18">
        <f t="shared" si="3"/>
        <v>0</v>
      </c>
      <c r="M13" s="18"/>
      <c r="N13" s="18"/>
      <c r="O13" s="18">
        <f t="shared" si="4"/>
        <v>0</v>
      </c>
      <c r="P13" s="18">
        <f t="shared" si="5"/>
        <v>0</v>
      </c>
      <c r="Q13" s="18"/>
      <c r="R13" s="18"/>
      <c r="S13" s="18">
        <f t="shared" si="6"/>
        <v>0</v>
      </c>
      <c r="T13" s="18">
        <f t="shared" si="7"/>
        <v>0</v>
      </c>
      <c r="U13" s="18"/>
      <c r="V13" s="18"/>
      <c r="W13" s="18">
        <f t="shared" si="8"/>
        <v>0</v>
      </c>
      <c r="X13" s="18">
        <f t="shared" si="9"/>
        <v>0</v>
      </c>
      <c r="Y13" s="18"/>
      <c r="Z13" s="18"/>
      <c r="AA13" s="18">
        <f t="shared" si="10"/>
        <v>0</v>
      </c>
      <c r="AB13" s="18">
        <f t="shared" si="11"/>
        <v>0</v>
      </c>
      <c r="AC13" s="18"/>
      <c r="AD13" s="18"/>
      <c r="AE13" s="18">
        <f t="shared" si="12"/>
        <v>0</v>
      </c>
      <c r="AF13" s="18">
        <f t="shared" si="13"/>
        <v>0</v>
      </c>
      <c r="AG13" s="18"/>
      <c r="AH13" s="18"/>
      <c r="AI13" s="18">
        <f t="shared" si="14"/>
        <v>0</v>
      </c>
      <c r="AJ13" s="18">
        <f t="shared" si="15"/>
        <v>0</v>
      </c>
      <c r="AK13" s="18"/>
      <c r="AL13" s="18"/>
      <c r="AM13" s="18">
        <f t="shared" si="16"/>
        <v>0</v>
      </c>
      <c r="AN13" s="18">
        <f t="shared" si="17"/>
        <v>0</v>
      </c>
      <c r="AP13">
        <f t="shared" si="18"/>
        <v>0</v>
      </c>
      <c r="AQ13">
        <f t="shared" si="19"/>
        <v>0</v>
      </c>
      <c r="AR13">
        <f t="shared" si="20"/>
        <v>0</v>
      </c>
    </row>
    <row r="14" spans="1:44" x14ac:dyDescent="0.3">
      <c r="A14" s="2" t="s">
        <v>33</v>
      </c>
      <c r="B14" s="2" t="s">
        <v>34</v>
      </c>
      <c r="C14">
        <v>1.13E-4</v>
      </c>
      <c r="D14">
        <v>1.3954668573906449E-4</v>
      </c>
      <c r="E14" s="18"/>
      <c r="F14" s="18"/>
      <c r="G14" s="18">
        <f t="shared" si="0"/>
        <v>0</v>
      </c>
      <c r="H14" s="18">
        <f t="shared" si="1"/>
        <v>0</v>
      </c>
      <c r="I14" s="18"/>
      <c r="J14" s="18"/>
      <c r="K14" s="18">
        <f t="shared" si="2"/>
        <v>0</v>
      </c>
      <c r="L14" s="18">
        <f t="shared" si="3"/>
        <v>0</v>
      </c>
      <c r="M14" s="18"/>
      <c r="N14" s="18"/>
      <c r="O14" s="18">
        <f t="shared" si="4"/>
        <v>0</v>
      </c>
      <c r="P14" s="18">
        <f t="shared" si="5"/>
        <v>0</v>
      </c>
      <c r="Q14" s="18"/>
      <c r="R14" s="18"/>
      <c r="S14" s="18">
        <f t="shared" si="6"/>
        <v>0</v>
      </c>
      <c r="T14" s="18">
        <f t="shared" si="7"/>
        <v>0</v>
      </c>
      <c r="U14" s="18"/>
      <c r="V14" s="18"/>
      <c r="W14" s="18">
        <f t="shared" si="8"/>
        <v>0</v>
      </c>
      <c r="X14" s="18">
        <f t="shared" si="9"/>
        <v>0</v>
      </c>
      <c r="Y14" s="18"/>
      <c r="Z14" s="18"/>
      <c r="AA14" s="18">
        <f t="shared" si="10"/>
        <v>0</v>
      </c>
      <c r="AB14" s="18">
        <f t="shared" si="11"/>
        <v>0</v>
      </c>
      <c r="AC14" s="18"/>
      <c r="AD14" s="18"/>
      <c r="AE14" s="18">
        <f t="shared" si="12"/>
        <v>0</v>
      </c>
      <c r="AF14" s="18">
        <f t="shared" si="13"/>
        <v>0</v>
      </c>
      <c r="AG14" s="18"/>
      <c r="AH14" s="18"/>
      <c r="AI14" s="18">
        <f t="shared" si="14"/>
        <v>0</v>
      </c>
      <c r="AJ14" s="18">
        <f t="shared" si="15"/>
        <v>0</v>
      </c>
      <c r="AK14" s="18"/>
      <c r="AL14" s="18"/>
      <c r="AM14" s="18">
        <f t="shared" si="16"/>
        <v>0</v>
      </c>
      <c r="AN14" s="18">
        <f t="shared" si="17"/>
        <v>0</v>
      </c>
      <c r="AP14">
        <f t="shared" si="18"/>
        <v>0</v>
      </c>
      <c r="AQ14">
        <f t="shared" si="19"/>
        <v>0</v>
      </c>
      <c r="AR14">
        <f t="shared" si="20"/>
        <v>0</v>
      </c>
    </row>
    <row r="15" spans="1:44" x14ac:dyDescent="0.3">
      <c r="A15" s="2" t="s">
        <v>35</v>
      </c>
      <c r="B15" s="2" t="s">
        <v>36</v>
      </c>
      <c r="C15">
        <v>1.8959999999999999E-3</v>
      </c>
      <c r="D15">
        <v>4.8223365746760186E-3</v>
      </c>
      <c r="E15" s="18"/>
      <c r="F15" s="18"/>
      <c r="G15" s="18">
        <f t="shared" si="0"/>
        <v>0</v>
      </c>
      <c r="H15" s="18">
        <f t="shared" si="1"/>
        <v>0</v>
      </c>
      <c r="I15" s="18"/>
      <c r="J15" s="18"/>
      <c r="K15" s="18">
        <f t="shared" si="2"/>
        <v>0</v>
      </c>
      <c r="L15" s="18">
        <f t="shared" si="3"/>
        <v>0</v>
      </c>
      <c r="M15" s="18"/>
      <c r="N15" s="18"/>
      <c r="O15" s="18">
        <f t="shared" si="4"/>
        <v>0</v>
      </c>
      <c r="P15" s="18">
        <f t="shared" si="5"/>
        <v>0</v>
      </c>
      <c r="Q15" s="18"/>
      <c r="R15" s="18"/>
      <c r="S15" s="18">
        <f t="shared" si="6"/>
        <v>0</v>
      </c>
      <c r="T15" s="18">
        <f t="shared" si="7"/>
        <v>0</v>
      </c>
      <c r="U15" s="18"/>
      <c r="V15" s="18"/>
      <c r="W15" s="18">
        <f t="shared" si="8"/>
        <v>0</v>
      </c>
      <c r="X15" s="18">
        <f t="shared" si="9"/>
        <v>0</v>
      </c>
      <c r="Y15" s="18"/>
      <c r="Z15" s="18"/>
      <c r="AA15" s="18">
        <f t="shared" si="10"/>
        <v>0</v>
      </c>
      <c r="AB15" s="18">
        <f t="shared" si="11"/>
        <v>0</v>
      </c>
      <c r="AC15" s="18"/>
      <c r="AD15" s="18"/>
      <c r="AE15" s="18">
        <f t="shared" si="12"/>
        <v>0</v>
      </c>
      <c r="AF15" s="18">
        <f t="shared" si="13"/>
        <v>0</v>
      </c>
      <c r="AG15" s="18"/>
      <c r="AH15" s="18"/>
      <c r="AI15" s="18">
        <f t="shared" si="14"/>
        <v>0</v>
      </c>
      <c r="AJ15" s="18">
        <f t="shared" si="15"/>
        <v>0</v>
      </c>
      <c r="AK15" s="18"/>
      <c r="AL15" s="18"/>
      <c r="AM15" s="18">
        <f t="shared" si="16"/>
        <v>0</v>
      </c>
      <c r="AN15" s="18">
        <f t="shared" si="17"/>
        <v>0</v>
      </c>
      <c r="AP15">
        <f t="shared" si="18"/>
        <v>0</v>
      </c>
      <c r="AQ15">
        <f t="shared" si="19"/>
        <v>0</v>
      </c>
      <c r="AR15">
        <f t="shared" si="20"/>
        <v>0</v>
      </c>
    </row>
    <row r="16" spans="1:44" x14ac:dyDescent="0.3">
      <c r="A16" s="2" t="s">
        <v>37</v>
      </c>
      <c r="B16" s="2" t="s">
        <v>38</v>
      </c>
      <c r="C16">
        <v>1.14E-3</v>
      </c>
      <c r="D16">
        <v>1.1403700500812516E-3</v>
      </c>
      <c r="E16" s="18"/>
      <c r="F16" s="18"/>
      <c r="G16" s="18">
        <f t="shared" si="0"/>
        <v>0</v>
      </c>
      <c r="H16" s="18">
        <f t="shared" si="1"/>
        <v>0</v>
      </c>
      <c r="I16" s="18"/>
      <c r="J16" s="18"/>
      <c r="K16" s="18">
        <f t="shared" si="2"/>
        <v>0</v>
      </c>
      <c r="L16" s="18">
        <f t="shared" si="3"/>
        <v>0</v>
      </c>
      <c r="M16" s="18"/>
      <c r="N16" s="18"/>
      <c r="O16" s="18">
        <f t="shared" si="4"/>
        <v>0</v>
      </c>
      <c r="P16" s="18">
        <f t="shared" si="5"/>
        <v>0</v>
      </c>
      <c r="Q16" s="18"/>
      <c r="R16" s="18"/>
      <c r="S16" s="18">
        <f t="shared" si="6"/>
        <v>0</v>
      </c>
      <c r="T16" s="18">
        <f t="shared" si="7"/>
        <v>0</v>
      </c>
      <c r="U16" s="18"/>
      <c r="V16" s="18"/>
      <c r="W16" s="18">
        <f t="shared" si="8"/>
        <v>0</v>
      </c>
      <c r="X16" s="18">
        <f t="shared" si="9"/>
        <v>0</v>
      </c>
      <c r="Y16" s="18"/>
      <c r="Z16" s="18"/>
      <c r="AA16" s="18">
        <f t="shared" si="10"/>
        <v>0</v>
      </c>
      <c r="AB16" s="18">
        <f t="shared" si="11"/>
        <v>0</v>
      </c>
      <c r="AC16" s="18"/>
      <c r="AD16" s="18"/>
      <c r="AE16" s="18">
        <f t="shared" si="12"/>
        <v>0</v>
      </c>
      <c r="AF16" s="18">
        <f t="shared" si="13"/>
        <v>0</v>
      </c>
      <c r="AG16" s="18"/>
      <c r="AH16" s="18"/>
      <c r="AI16" s="18">
        <f t="shared" si="14"/>
        <v>0</v>
      </c>
      <c r="AJ16" s="18">
        <f t="shared" si="15"/>
        <v>0</v>
      </c>
      <c r="AK16" s="18"/>
      <c r="AL16" s="18"/>
      <c r="AM16" s="18">
        <f t="shared" si="16"/>
        <v>0</v>
      </c>
      <c r="AN16" s="18">
        <f t="shared" si="17"/>
        <v>0</v>
      </c>
      <c r="AP16">
        <f t="shared" si="18"/>
        <v>0</v>
      </c>
      <c r="AQ16">
        <f t="shared" si="19"/>
        <v>0</v>
      </c>
      <c r="AR16">
        <f t="shared" si="20"/>
        <v>0</v>
      </c>
    </row>
    <row r="17" spans="1:44" x14ac:dyDescent="0.3">
      <c r="A17" s="2" t="s">
        <v>39</v>
      </c>
      <c r="B17" s="2" t="s">
        <v>40</v>
      </c>
      <c r="C17">
        <v>5.7600000000000001E-4</v>
      </c>
      <c r="D17">
        <v>7.501861341352524E-4</v>
      </c>
      <c r="E17" s="18"/>
      <c r="F17" s="18"/>
      <c r="G17" s="18">
        <f t="shared" si="0"/>
        <v>0</v>
      </c>
      <c r="H17" s="18">
        <f t="shared" si="1"/>
        <v>0</v>
      </c>
      <c r="I17" s="18"/>
      <c r="J17" s="18"/>
      <c r="K17" s="18">
        <f t="shared" si="2"/>
        <v>0</v>
      </c>
      <c r="L17" s="18">
        <f t="shared" si="3"/>
        <v>0</v>
      </c>
      <c r="M17" s="18"/>
      <c r="N17" s="18"/>
      <c r="O17" s="18">
        <f t="shared" si="4"/>
        <v>0</v>
      </c>
      <c r="P17" s="18">
        <f t="shared" si="5"/>
        <v>0</v>
      </c>
      <c r="Q17" s="18"/>
      <c r="R17" s="18"/>
      <c r="S17" s="18">
        <f t="shared" si="6"/>
        <v>0</v>
      </c>
      <c r="T17" s="18">
        <f t="shared" si="7"/>
        <v>0</v>
      </c>
      <c r="U17" s="18"/>
      <c r="V17" s="18"/>
      <c r="W17" s="18">
        <f t="shared" si="8"/>
        <v>0</v>
      </c>
      <c r="X17" s="18">
        <f t="shared" si="9"/>
        <v>0</v>
      </c>
      <c r="Y17" s="18"/>
      <c r="Z17" s="18"/>
      <c r="AA17" s="18">
        <f t="shared" si="10"/>
        <v>0</v>
      </c>
      <c r="AB17" s="18">
        <f t="shared" si="11"/>
        <v>0</v>
      </c>
      <c r="AC17" s="18"/>
      <c r="AD17" s="18"/>
      <c r="AE17" s="18">
        <f t="shared" si="12"/>
        <v>0</v>
      </c>
      <c r="AF17" s="18">
        <f t="shared" si="13"/>
        <v>0</v>
      </c>
      <c r="AG17" s="18"/>
      <c r="AH17" s="18"/>
      <c r="AI17" s="18">
        <f t="shared" si="14"/>
        <v>0</v>
      </c>
      <c r="AJ17" s="18">
        <f t="shared" si="15"/>
        <v>0</v>
      </c>
      <c r="AK17" s="18"/>
      <c r="AL17" s="18"/>
      <c r="AM17" s="18">
        <f t="shared" si="16"/>
        <v>0</v>
      </c>
      <c r="AN17" s="18">
        <f t="shared" si="17"/>
        <v>0</v>
      </c>
      <c r="AP17">
        <f t="shared" si="18"/>
        <v>0</v>
      </c>
      <c r="AQ17">
        <f t="shared" si="19"/>
        <v>0</v>
      </c>
      <c r="AR17">
        <f t="shared" si="20"/>
        <v>0</v>
      </c>
    </row>
    <row r="18" spans="1:44" x14ac:dyDescent="0.3">
      <c r="A18" s="2" t="s">
        <v>41</v>
      </c>
      <c r="B18" s="2" t="s">
        <v>42</v>
      </c>
      <c r="C18">
        <v>1.03E-4</v>
      </c>
      <c r="D18">
        <v>1.3262060470896895E-4</v>
      </c>
      <c r="E18" s="18"/>
      <c r="F18" s="18"/>
      <c r="G18" s="18">
        <f t="shared" si="0"/>
        <v>0</v>
      </c>
      <c r="H18" s="18">
        <f t="shared" si="1"/>
        <v>0</v>
      </c>
      <c r="I18" s="18"/>
      <c r="J18" s="18"/>
      <c r="K18" s="18">
        <f t="shared" si="2"/>
        <v>0</v>
      </c>
      <c r="L18" s="18">
        <f t="shared" si="3"/>
        <v>0</v>
      </c>
      <c r="M18" s="18"/>
      <c r="N18" s="18"/>
      <c r="O18" s="18">
        <f t="shared" si="4"/>
        <v>0</v>
      </c>
      <c r="P18" s="18">
        <f t="shared" si="5"/>
        <v>0</v>
      </c>
      <c r="Q18" s="18"/>
      <c r="R18" s="18"/>
      <c r="S18" s="18">
        <f t="shared" si="6"/>
        <v>0</v>
      </c>
      <c r="T18" s="18">
        <f t="shared" si="7"/>
        <v>0</v>
      </c>
      <c r="U18" s="18"/>
      <c r="V18" s="18"/>
      <c r="W18" s="18">
        <f t="shared" si="8"/>
        <v>0</v>
      </c>
      <c r="X18" s="18">
        <f t="shared" si="9"/>
        <v>0</v>
      </c>
      <c r="Y18" s="18"/>
      <c r="Z18" s="18"/>
      <c r="AA18" s="18">
        <f t="shared" si="10"/>
        <v>0</v>
      </c>
      <c r="AB18" s="18">
        <f t="shared" si="11"/>
        <v>0</v>
      </c>
      <c r="AC18" s="18"/>
      <c r="AD18" s="18"/>
      <c r="AE18" s="18">
        <f t="shared" si="12"/>
        <v>0</v>
      </c>
      <c r="AF18" s="18">
        <f t="shared" si="13"/>
        <v>0</v>
      </c>
      <c r="AG18" s="18"/>
      <c r="AH18" s="18"/>
      <c r="AI18" s="18">
        <f t="shared" si="14"/>
        <v>0</v>
      </c>
      <c r="AJ18" s="18">
        <f t="shared" si="15"/>
        <v>0</v>
      </c>
      <c r="AK18" s="18"/>
      <c r="AL18" s="18"/>
      <c r="AM18" s="18">
        <f t="shared" si="16"/>
        <v>0</v>
      </c>
      <c r="AN18" s="18">
        <f t="shared" si="17"/>
        <v>0</v>
      </c>
      <c r="AP18">
        <f t="shared" si="18"/>
        <v>0</v>
      </c>
      <c r="AQ18">
        <f t="shared" si="19"/>
        <v>0</v>
      </c>
      <c r="AR18">
        <f t="shared" si="20"/>
        <v>0</v>
      </c>
    </row>
    <row r="19" spans="1:44" x14ac:dyDescent="0.3">
      <c r="A19" s="2" t="s">
        <v>43</v>
      </c>
      <c r="B19" s="2" t="s">
        <v>44</v>
      </c>
      <c r="C19">
        <v>6.9999999999999994E-5</v>
      </c>
      <c r="D19">
        <v>6.9843440895117292E-5</v>
      </c>
      <c r="E19" s="18"/>
      <c r="F19" s="18"/>
      <c r="G19" s="18">
        <f t="shared" si="0"/>
        <v>0</v>
      </c>
      <c r="H19" s="18">
        <f t="shared" si="1"/>
        <v>0</v>
      </c>
      <c r="I19" s="18"/>
      <c r="J19" s="18"/>
      <c r="K19" s="18">
        <f t="shared" si="2"/>
        <v>0</v>
      </c>
      <c r="L19" s="18">
        <f t="shared" si="3"/>
        <v>0</v>
      </c>
      <c r="M19" s="18"/>
      <c r="N19" s="18"/>
      <c r="O19" s="18">
        <f t="shared" si="4"/>
        <v>0</v>
      </c>
      <c r="P19" s="18">
        <f t="shared" si="5"/>
        <v>0</v>
      </c>
      <c r="Q19" s="18"/>
      <c r="R19" s="18"/>
      <c r="S19" s="18">
        <f t="shared" si="6"/>
        <v>0</v>
      </c>
      <c r="T19" s="18">
        <f t="shared" si="7"/>
        <v>0</v>
      </c>
      <c r="U19" s="18"/>
      <c r="V19" s="18"/>
      <c r="W19" s="18">
        <f t="shared" si="8"/>
        <v>0</v>
      </c>
      <c r="X19" s="18">
        <f t="shared" si="9"/>
        <v>0</v>
      </c>
      <c r="Y19" s="18"/>
      <c r="Z19" s="18"/>
      <c r="AA19" s="18">
        <f t="shared" si="10"/>
        <v>0</v>
      </c>
      <c r="AB19" s="18">
        <f t="shared" si="11"/>
        <v>0</v>
      </c>
      <c r="AC19" s="18"/>
      <c r="AD19" s="18"/>
      <c r="AE19" s="18">
        <f t="shared" si="12"/>
        <v>0</v>
      </c>
      <c r="AF19" s="18">
        <f t="shared" si="13"/>
        <v>0</v>
      </c>
      <c r="AG19" s="18"/>
      <c r="AH19" s="18"/>
      <c r="AI19" s="18">
        <f t="shared" si="14"/>
        <v>0</v>
      </c>
      <c r="AJ19" s="18">
        <f t="shared" si="15"/>
        <v>0</v>
      </c>
      <c r="AK19" s="18"/>
      <c r="AL19" s="18"/>
      <c r="AM19" s="18">
        <f t="shared" si="16"/>
        <v>0</v>
      </c>
      <c r="AN19" s="18">
        <f t="shared" si="17"/>
        <v>0</v>
      </c>
      <c r="AP19">
        <f t="shared" si="18"/>
        <v>0</v>
      </c>
      <c r="AQ19">
        <f t="shared" si="19"/>
        <v>0</v>
      </c>
      <c r="AR19">
        <f t="shared" si="20"/>
        <v>0</v>
      </c>
    </row>
    <row r="20" spans="1:44" x14ac:dyDescent="0.3">
      <c r="A20" s="2" t="s">
        <v>45</v>
      </c>
      <c r="B20" s="2" t="s">
        <v>46</v>
      </c>
      <c r="C20">
        <v>1.2099999999999999E-3</v>
      </c>
      <c r="D20">
        <v>3.8671441989959299E-3</v>
      </c>
      <c r="E20" s="18"/>
      <c r="F20" s="18"/>
      <c r="G20" s="18">
        <f t="shared" si="0"/>
        <v>0</v>
      </c>
      <c r="H20" s="18">
        <f t="shared" si="1"/>
        <v>0</v>
      </c>
      <c r="I20" s="18"/>
      <c r="J20" s="18"/>
      <c r="K20" s="18">
        <f t="shared" si="2"/>
        <v>0</v>
      </c>
      <c r="L20" s="18">
        <f t="shared" si="3"/>
        <v>0</v>
      </c>
      <c r="M20" s="18">
        <v>1.9946787569861874E-3</v>
      </c>
      <c r="N20" s="18"/>
      <c r="O20" s="18">
        <f t="shared" si="4"/>
        <v>4.9866968924654686E-4</v>
      </c>
      <c r="P20" s="18">
        <f t="shared" si="5"/>
        <v>0.51580149442166867</v>
      </c>
      <c r="Q20" s="18"/>
      <c r="R20" s="18"/>
      <c r="S20" s="18">
        <f t="shared" si="6"/>
        <v>0</v>
      </c>
      <c r="T20" s="18">
        <f t="shared" si="7"/>
        <v>0</v>
      </c>
      <c r="U20" s="18"/>
      <c r="V20" s="18"/>
      <c r="W20" s="18">
        <f t="shared" si="8"/>
        <v>0</v>
      </c>
      <c r="X20" s="18">
        <f t="shared" si="9"/>
        <v>0</v>
      </c>
      <c r="Y20" s="18"/>
      <c r="Z20" s="18"/>
      <c r="AA20" s="18">
        <f t="shared" si="10"/>
        <v>0</v>
      </c>
      <c r="AB20" s="18">
        <f t="shared" si="11"/>
        <v>0</v>
      </c>
      <c r="AC20" s="18"/>
      <c r="AD20" s="18"/>
      <c r="AE20" s="18">
        <f t="shared" si="12"/>
        <v>0</v>
      </c>
      <c r="AF20" s="18">
        <f t="shared" si="13"/>
        <v>0</v>
      </c>
      <c r="AG20" s="18"/>
      <c r="AH20" s="18"/>
      <c r="AI20" s="18">
        <f t="shared" si="14"/>
        <v>0</v>
      </c>
      <c r="AJ20" s="18">
        <f t="shared" si="15"/>
        <v>0</v>
      </c>
      <c r="AK20" s="18"/>
      <c r="AL20" s="18"/>
      <c r="AM20" s="18">
        <f t="shared" si="16"/>
        <v>0</v>
      </c>
      <c r="AN20" s="18">
        <f t="shared" si="17"/>
        <v>0</v>
      </c>
      <c r="AP20">
        <f t="shared" si="18"/>
        <v>0</v>
      </c>
      <c r="AQ20">
        <f t="shared" si="19"/>
        <v>0</v>
      </c>
      <c r="AR20">
        <f t="shared" si="20"/>
        <v>0</v>
      </c>
    </row>
    <row r="21" spans="1:44" x14ac:dyDescent="0.3">
      <c r="A21" s="2" t="s">
        <v>47</v>
      </c>
      <c r="B21" s="2" t="s">
        <v>48</v>
      </c>
      <c r="C21">
        <v>6.8450000000000004E-3</v>
      </c>
      <c r="D21">
        <v>7.2243473425646614E-3</v>
      </c>
      <c r="E21" s="18"/>
      <c r="F21" s="18"/>
      <c r="G21" s="18">
        <f t="shared" si="0"/>
        <v>0</v>
      </c>
      <c r="H21" s="18">
        <f t="shared" si="1"/>
        <v>0</v>
      </c>
      <c r="I21" s="18"/>
      <c r="J21" s="18"/>
      <c r="K21" s="18">
        <f t="shared" si="2"/>
        <v>0</v>
      </c>
      <c r="L21" s="18">
        <f t="shared" si="3"/>
        <v>0</v>
      </c>
      <c r="M21" s="18"/>
      <c r="N21" s="18"/>
      <c r="O21" s="18">
        <f t="shared" si="4"/>
        <v>0</v>
      </c>
      <c r="P21" s="18">
        <f t="shared" si="5"/>
        <v>0</v>
      </c>
      <c r="Q21" s="18">
        <v>6.713166533522198E-4</v>
      </c>
      <c r="R21" s="18"/>
      <c r="S21" s="18">
        <f t="shared" si="6"/>
        <v>2.0139499600566594E-4</v>
      </c>
      <c r="T21" s="18">
        <f t="shared" si="7"/>
        <v>9.2924193912567427E-2</v>
      </c>
      <c r="U21" s="18"/>
      <c r="V21" s="18"/>
      <c r="W21" s="18">
        <f t="shared" si="8"/>
        <v>0</v>
      </c>
      <c r="X21" s="18">
        <f t="shared" si="9"/>
        <v>0</v>
      </c>
      <c r="Y21" s="18"/>
      <c r="Z21" s="18"/>
      <c r="AA21" s="18">
        <f t="shared" si="10"/>
        <v>0</v>
      </c>
      <c r="AB21" s="18">
        <f t="shared" si="11"/>
        <v>0</v>
      </c>
      <c r="AC21" s="18"/>
      <c r="AD21" s="18"/>
      <c r="AE21" s="18">
        <f t="shared" si="12"/>
        <v>0</v>
      </c>
      <c r="AF21" s="18">
        <f t="shared" si="13"/>
        <v>0</v>
      </c>
      <c r="AG21" s="18">
        <v>5.3057828788753434E-3</v>
      </c>
      <c r="AH21" s="18"/>
      <c r="AI21" s="18">
        <f t="shared" si="14"/>
        <v>4.2446263031002745E-3</v>
      </c>
      <c r="AJ21" s="18">
        <f t="shared" si="15"/>
        <v>0.73443075578807615</v>
      </c>
      <c r="AK21" s="18"/>
      <c r="AL21" s="18"/>
      <c r="AM21" s="18">
        <f t="shared" si="16"/>
        <v>0</v>
      </c>
      <c r="AN21" s="18">
        <f t="shared" si="17"/>
        <v>0</v>
      </c>
      <c r="AP21">
        <f t="shared" si="18"/>
        <v>0</v>
      </c>
      <c r="AQ21">
        <f t="shared" si="19"/>
        <v>0</v>
      </c>
      <c r="AR21">
        <f t="shared" si="20"/>
        <v>0</v>
      </c>
    </row>
    <row r="22" spans="1:44" x14ac:dyDescent="0.3">
      <c r="A22" s="2" t="s">
        <v>49</v>
      </c>
      <c r="B22" s="2" t="s">
        <v>50</v>
      </c>
      <c r="C22">
        <v>7.2110000000000004E-3</v>
      </c>
      <c r="D22">
        <v>7.2058862424087492E-3</v>
      </c>
      <c r="E22" s="18"/>
      <c r="F22" s="18"/>
      <c r="G22" s="18">
        <f t="shared" si="0"/>
        <v>0</v>
      </c>
      <c r="H22" s="18">
        <f t="shared" si="1"/>
        <v>0</v>
      </c>
      <c r="I22" s="18"/>
      <c r="J22" s="18"/>
      <c r="K22" s="18">
        <f t="shared" si="2"/>
        <v>0</v>
      </c>
      <c r="L22" s="18">
        <f t="shared" si="3"/>
        <v>0</v>
      </c>
      <c r="M22" s="18"/>
      <c r="N22" s="18"/>
      <c r="O22" s="18">
        <f t="shared" si="4"/>
        <v>0</v>
      </c>
      <c r="P22" s="18">
        <f t="shared" si="5"/>
        <v>0</v>
      </c>
      <c r="Q22" s="18"/>
      <c r="R22" s="18"/>
      <c r="S22" s="18">
        <f t="shared" si="6"/>
        <v>0</v>
      </c>
      <c r="T22" s="18">
        <f t="shared" si="7"/>
        <v>0</v>
      </c>
      <c r="U22" s="18"/>
      <c r="V22" s="18"/>
      <c r="W22" s="18">
        <f t="shared" si="8"/>
        <v>0</v>
      </c>
      <c r="X22" s="18">
        <f t="shared" si="9"/>
        <v>0</v>
      </c>
      <c r="Y22" s="18"/>
      <c r="Z22" s="18"/>
      <c r="AA22" s="18">
        <f t="shared" si="10"/>
        <v>0</v>
      </c>
      <c r="AB22" s="18">
        <f t="shared" si="11"/>
        <v>0</v>
      </c>
      <c r="AC22" s="18"/>
      <c r="AD22" s="18"/>
      <c r="AE22" s="18">
        <f t="shared" si="12"/>
        <v>0</v>
      </c>
      <c r="AF22" s="18">
        <f t="shared" si="13"/>
        <v>0</v>
      </c>
      <c r="AG22" s="18"/>
      <c r="AH22" s="18"/>
      <c r="AI22" s="18">
        <f t="shared" si="14"/>
        <v>0</v>
      </c>
      <c r="AJ22" s="18">
        <f t="shared" si="15"/>
        <v>0</v>
      </c>
      <c r="AK22" s="18"/>
      <c r="AL22" s="18"/>
      <c r="AM22" s="18">
        <f t="shared" si="16"/>
        <v>0</v>
      </c>
      <c r="AN22" s="18">
        <f t="shared" si="17"/>
        <v>0</v>
      </c>
      <c r="AP22">
        <f t="shared" si="18"/>
        <v>0</v>
      </c>
      <c r="AQ22">
        <f t="shared" si="19"/>
        <v>0</v>
      </c>
      <c r="AR22">
        <f t="shared" si="20"/>
        <v>0</v>
      </c>
    </row>
    <row r="23" spans="1:44" x14ac:dyDescent="0.3">
      <c r="A23" s="6" t="s">
        <v>51</v>
      </c>
      <c r="B23" s="6" t="s">
        <v>481</v>
      </c>
      <c r="C23" s="22">
        <v>4.0827000000000002E-2</v>
      </c>
      <c r="D23" s="22">
        <v>1.6429706525573635E-2</v>
      </c>
      <c r="E23" s="18"/>
      <c r="F23" s="18"/>
      <c r="G23" s="18"/>
      <c r="H23" s="18">
        <f t="shared" si="1"/>
        <v>0</v>
      </c>
      <c r="I23" s="18"/>
      <c r="J23" s="18"/>
      <c r="K23" s="18"/>
      <c r="L23" s="18">
        <f t="shared" si="3"/>
        <v>0</v>
      </c>
      <c r="M23" s="18"/>
      <c r="N23" s="18"/>
      <c r="O23" s="18"/>
      <c r="P23" s="18">
        <f t="shared" si="5"/>
        <v>0</v>
      </c>
      <c r="Q23" s="18"/>
      <c r="R23" s="18"/>
      <c r="S23" s="18">
        <f t="shared" si="6"/>
        <v>0</v>
      </c>
      <c r="T23" s="18">
        <f t="shared" si="7"/>
        <v>0</v>
      </c>
      <c r="U23" s="18"/>
      <c r="V23" s="18"/>
      <c r="W23" s="18">
        <f t="shared" si="8"/>
        <v>0</v>
      </c>
      <c r="X23" s="18">
        <f t="shared" si="9"/>
        <v>0</v>
      </c>
      <c r="Y23" s="18"/>
      <c r="Z23" s="18"/>
      <c r="AA23" s="18">
        <f t="shared" si="10"/>
        <v>0</v>
      </c>
      <c r="AB23" s="18">
        <f t="shared" si="11"/>
        <v>0</v>
      </c>
      <c r="AC23" s="18"/>
      <c r="AD23" s="18"/>
      <c r="AE23" s="18">
        <f t="shared" si="12"/>
        <v>0</v>
      </c>
      <c r="AF23" s="18">
        <f t="shared" si="13"/>
        <v>0</v>
      </c>
      <c r="AG23" s="18">
        <v>2.666E-3</v>
      </c>
      <c r="AH23" s="18"/>
      <c r="AI23" s="18">
        <f t="shared" si="14"/>
        <v>2.1328000000000002E-3</v>
      </c>
      <c r="AJ23" s="18">
        <f t="shared" si="15"/>
        <v>0.16226704937487724</v>
      </c>
      <c r="AK23" s="18"/>
      <c r="AL23" s="18"/>
      <c r="AM23" s="18">
        <f t="shared" si="16"/>
        <v>0</v>
      </c>
      <c r="AN23" s="18">
        <f t="shared" si="17"/>
        <v>0</v>
      </c>
    </row>
    <row r="24" spans="1:44" x14ac:dyDescent="0.3">
      <c r="A24" s="2" t="s">
        <v>53</v>
      </c>
      <c r="B24" s="2" t="s">
        <v>54</v>
      </c>
      <c r="C24">
        <v>8.8500000000000004E-4</v>
      </c>
      <c r="D24">
        <v>8.8462407517084717E-4</v>
      </c>
      <c r="E24" s="18"/>
      <c r="F24" s="18"/>
      <c r="G24" s="18">
        <f t="shared" si="0"/>
        <v>0</v>
      </c>
      <c r="H24" s="18">
        <f t="shared" si="1"/>
        <v>0</v>
      </c>
      <c r="I24" s="18"/>
      <c r="J24" s="18"/>
      <c r="K24" s="18">
        <f t="shared" si="2"/>
        <v>0</v>
      </c>
      <c r="L24" s="18">
        <f t="shared" si="3"/>
        <v>0</v>
      </c>
      <c r="M24" s="18"/>
      <c r="N24" s="18"/>
      <c r="O24" s="18">
        <f t="shared" si="4"/>
        <v>0</v>
      </c>
      <c r="P24" s="18">
        <f t="shared" si="5"/>
        <v>0</v>
      </c>
      <c r="Q24" s="18"/>
      <c r="R24" s="18"/>
      <c r="S24" s="18">
        <f t="shared" si="6"/>
        <v>0</v>
      </c>
      <c r="T24" s="18">
        <f t="shared" si="7"/>
        <v>0</v>
      </c>
      <c r="U24" s="18"/>
      <c r="V24" s="18"/>
      <c r="W24" s="18">
        <f t="shared" si="8"/>
        <v>0</v>
      </c>
      <c r="X24" s="18">
        <f t="shared" si="9"/>
        <v>0</v>
      </c>
      <c r="Y24" s="18"/>
      <c r="Z24" s="18"/>
      <c r="AA24" s="18">
        <f t="shared" si="10"/>
        <v>0</v>
      </c>
      <c r="AB24" s="18">
        <f t="shared" si="11"/>
        <v>0</v>
      </c>
      <c r="AC24" s="18"/>
      <c r="AD24" s="18"/>
      <c r="AE24" s="18">
        <f t="shared" si="12"/>
        <v>0</v>
      </c>
      <c r="AF24" s="18">
        <f t="shared" si="13"/>
        <v>0</v>
      </c>
      <c r="AG24" s="18"/>
      <c r="AH24" s="18"/>
      <c r="AI24" s="18">
        <f t="shared" si="14"/>
        <v>0</v>
      </c>
      <c r="AJ24" s="18">
        <f t="shared" si="15"/>
        <v>0</v>
      </c>
      <c r="AK24" s="18"/>
      <c r="AL24" s="18"/>
      <c r="AM24" s="18">
        <f t="shared" si="16"/>
        <v>0</v>
      </c>
      <c r="AN24" s="18">
        <f t="shared" si="17"/>
        <v>0</v>
      </c>
      <c r="AP24">
        <f t="shared" si="18"/>
        <v>0</v>
      </c>
      <c r="AQ24">
        <f t="shared" si="19"/>
        <v>0</v>
      </c>
      <c r="AR24">
        <f t="shared" si="20"/>
        <v>0</v>
      </c>
    </row>
    <row r="25" spans="1:44" x14ac:dyDescent="0.3">
      <c r="A25" s="2" t="s">
        <v>55</v>
      </c>
      <c r="B25" s="2" t="s">
        <v>56</v>
      </c>
      <c r="C25">
        <v>5.3399999999999997E-4</v>
      </c>
      <c r="D25">
        <v>9.9664937638568808E-4</v>
      </c>
      <c r="E25" s="18"/>
      <c r="F25" s="18"/>
      <c r="G25" s="18">
        <f t="shared" si="0"/>
        <v>0</v>
      </c>
      <c r="H25" s="18">
        <f t="shared" si="1"/>
        <v>0</v>
      </c>
      <c r="I25" s="18"/>
      <c r="J25" s="18"/>
      <c r="K25" s="18">
        <f t="shared" si="2"/>
        <v>0</v>
      </c>
      <c r="L25" s="18">
        <f t="shared" si="3"/>
        <v>0</v>
      </c>
      <c r="M25" s="18"/>
      <c r="N25" s="18"/>
      <c r="O25" s="18">
        <f t="shared" si="4"/>
        <v>0</v>
      </c>
      <c r="P25" s="18">
        <f t="shared" si="5"/>
        <v>0</v>
      </c>
      <c r="Q25" s="18"/>
      <c r="R25" s="18"/>
      <c r="S25" s="18">
        <f t="shared" si="6"/>
        <v>0</v>
      </c>
      <c r="T25" s="18">
        <f t="shared" si="7"/>
        <v>0</v>
      </c>
      <c r="U25" s="18"/>
      <c r="V25" s="18"/>
      <c r="W25" s="18">
        <f t="shared" si="8"/>
        <v>0</v>
      </c>
      <c r="X25" s="18">
        <f t="shared" si="9"/>
        <v>0</v>
      </c>
      <c r="Y25" s="18"/>
      <c r="Z25" s="18"/>
      <c r="AA25" s="18">
        <f t="shared" si="10"/>
        <v>0</v>
      </c>
      <c r="AB25" s="18">
        <f t="shared" si="11"/>
        <v>0</v>
      </c>
      <c r="AC25" s="18"/>
      <c r="AD25" s="18"/>
      <c r="AE25" s="18">
        <f t="shared" si="12"/>
        <v>0</v>
      </c>
      <c r="AF25" s="18">
        <f t="shared" si="13"/>
        <v>0</v>
      </c>
      <c r="AG25" s="18"/>
      <c r="AH25" s="18"/>
      <c r="AI25" s="18">
        <f t="shared" si="14"/>
        <v>0</v>
      </c>
      <c r="AJ25" s="18">
        <f t="shared" si="15"/>
        <v>0</v>
      </c>
      <c r="AK25" s="18"/>
      <c r="AL25" s="18"/>
      <c r="AM25" s="18">
        <f t="shared" si="16"/>
        <v>0</v>
      </c>
      <c r="AN25" s="18">
        <f t="shared" si="17"/>
        <v>0</v>
      </c>
      <c r="AP25">
        <f t="shared" si="18"/>
        <v>0</v>
      </c>
      <c r="AQ25">
        <f t="shared" si="19"/>
        <v>0</v>
      </c>
      <c r="AR25">
        <f t="shared" si="20"/>
        <v>0</v>
      </c>
    </row>
    <row r="26" spans="1:44" x14ac:dyDescent="0.3">
      <c r="A26" s="2" t="s">
        <v>57</v>
      </c>
      <c r="B26" s="2" t="s">
        <v>58</v>
      </c>
      <c r="C26">
        <v>1.3439999999999999E-3</v>
      </c>
      <c r="D26">
        <v>1.1139491945417357E-3</v>
      </c>
      <c r="E26" s="18"/>
      <c r="F26" s="18"/>
      <c r="G26" s="18">
        <f t="shared" si="0"/>
        <v>0</v>
      </c>
      <c r="H26" s="18">
        <f t="shared" si="1"/>
        <v>0</v>
      </c>
      <c r="I26" s="18"/>
      <c r="J26" s="18"/>
      <c r="K26" s="18">
        <f t="shared" si="2"/>
        <v>0</v>
      </c>
      <c r="L26" s="18">
        <f t="shared" si="3"/>
        <v>0</v>
      </c>
      <c r="M26" s="18"/>
      <c r="N26" s="18"/>
      <c r="O26" s="18">
        <f t="shared" si="4"/>
        <v>0</v>
      </c>
      <c r="P26" s="18">
        <f t="shared" si="5"/>
        <v>0</v>
      </c>
      <c r="Q26" s="18"/>
      <c r="R26" s="18"/>
      <c r="S26" s="18">
        <f t="shared" si="6"/>
        <v>0</v>
      </c>
      <c r="T26" s="18">
        <f t="shared" si="7"/>
        <v>0</v>
      </c>
      <c r="U26" s="18"/>
      <c r="V26" s="18"/>
      <c r="W26" s="18">
        <f t="shared" si="8"/>
        <v>0</v>
      </c>
      <c r="X26" s="18">
        <f t="shared" si="9"/>
        <v>0</v>
      </c>
      <c r="Y26" s="18"/>
      <c r="Z26" s="18"/>
      <c r="AA26" s="18">
        <f t="shared" si="10"/>
        <v>0</v>
      </c>
      <c r="AB26" s="18">
        <f t="shared" si="11"/>
        <v>0</v>
      </c>
      <c r="AC26" s="18"/>
      <c r="AD26" s="18"/>
      <c r="AE26" s="18">
        <f t="shared" si="12"/>
        <v>0</v>
      </c>
      <c r="AF26" s="18">
        <f t="shared" si="13"/>
        <v>0</v>
      </c>
      <c r="AG26" s="18"/>
      <c r="AH26" s="18"/>
      <c r="AI26" s="18">
        <f t="shared" si="14"/>
        <v>0</v>
      </c>
      <c r="AJ26" s="18">
        <f t="shared" si="15"/>
        <v>0</v>
      </c>
      <c r="AK26" s="18"/>
      <c r="AL26" s="18"/>
      <c r="AM26" s="18">
        <f t="shared" si="16"/>
        <v>0</v>
      </c>
      <c r="AN26" s="18">
        <f t="shared" si="17"/>
        <v>0</v>
      </c>
      <c r="AP26">
        <f t="shared" si="18"/>
        <v>0</v>
      </c>
      <c r="AQ26">
        <f t="shared" si="19"/>
        <v>0</v>
      </c>
      <c r="AR26">
        <f t="shared" si="20"/>
        <v>0</v>
      </c>
    </row>
    <row r="27" spans="1:44" x14ac:dyDescent="0.3">
      <c r="A27" s="2" t="s">
        <v>59</v>
      </c>
      <c r="B27" s="2" t="s">
        <v>60</v>
      </c>
      <c r="C27">
        <v>1.055E-2</v>
      </c>
      <c r="D27">
        <v>1.4565697410729547E-2</v>
      </c>
      <c r="E27" s="18"/>
      <c r="F27" s="18"/>
      <c r="G27" s="18">
        <f t="shared" si="0"/>
        <v>0</v>
      </c>
      <c r="H27" s="18">
        <f t="shared" si="1"/>
        <v>0</v>
      </c>
      <c r="I27" s="18"/>
      <c r="J27" s="18"/>
      <c r="K27" s="18">
        <f t="shared" si="2"/>
        <v>0</v>
      </c>
      <c r="L27" s="18">
        <f t="shared" si="3"/>
        <v>0</v>
      </c>
      <c r="M27" s="18">
        <v>3.8143856931841134E-3</v>
      </c>
      <c r="N27" s="18"/>
      <c r="O27" s="18">
        <f t="shared" si="4"/>
        <v>9.5359642329602835E-4</v>
      </c>
      <c r="P27" s="18">
        <f t="shared" si="5"/>
        <v>0.261874566361259</v>
      </c>
      <c r="Q27" s="18"/>
      <c r="R27" s="18"/>
      <c r="S27" s="18">
        <f t="shared" si="6"/>
        <v>0</v>
      </c>
      <c r="T27" s="18">
        <f t="shared" si="7"/>
        <v>0</v>
      </c>
      <c r="U27" s="18"/>
      <c r="V27" s="18"/>
      <c r="W27" s="18">
        <f t="shared" si="8"/>
        <v>0</v>
      </c>
      <c r="X27" s="18">
        <f t="shared" si="9"/>
        <v>0</v>
      </c>
      <c r="Y27" s="18"/>
      <c r="Z27" s="18"/>
      <c r="AA27" s="18">
        <f t="shared" si="10"/>
        <v>0</v>
      </c>
      <c r="AB27" s="18">
        <f t="shared" si="11"/>
        <v>0</v>
      </c>
      <c r="AC27" s="18"/>
      <c r="AD27" s="18"/>
      <c r="AE27" s="18">
        <f t="shared" si="12"/>
        <v>0</v>
      </c>
      <c r="AF27" s="18">
        <f t="shared" si="13"/>
        <v>0</v>
      </c>
      <c r="AG27" s="18"/>
      <c r="AH27" s="18"/>
      <c r="AI27" s="18">
        <f t="shared" si="14"/>
        <v>0</v>
      </c>
      <c r="AJ27" s="18">
        <f t="shared" si="15"/>
        <v>0</v>
      </c>
      <c r="AK27" s="18"/>
      <c r="AL27" s="18"/>
      <c r="AM27" s="18">
        <f t="shared" si="16"/>
        <v>0</v>
      </c>
      <c r="AN27" s="18">
        <f t="shared" si="17"/>
        <v>0</v>
      </c>
      <c r="AP27">
        <f t="shared" si="18"/>
        <v>0</v>
      </c>
      <c r="AQ27">
        <f t="shared" si="19"/>
        <v>0</v>
      </c>
      <c r="AR27">
        <f t="shared" si="20"/>
        <v>0</v>
      </c>
    </row>
    <row r="28" spans="1:44" x14ac:dyDescent="0.3">
      <c r="A28" s="2" t="s">
        <v>61</v>
      </c>
      <c r="B28" s="2" t="s">
        <v>62</v>
      </c>
      <c r="C28">
        <v>3.1199999999999999E-4</v>
      </c>
      <c r="D28">
        <v>3.1244065022470073E-4</v>
      </c>
      <c r="E28" s="18"/>
      <c r="F28" s="18"/>
      <c r="G28" s="18">
        <f t="shared" si="0"/>
        <v>0</v>
      </c>
      <c r="H28" s="18">
        <f t="shared" si="1"/>
        <v>0</v>
      </c>
      <c r="I28" s="18"/>
      <c r="J28" s="18"/>
      <c r="K28" s="18">
        <f t="shared" si="2"/>
        <v>0</v>
      </c>
      <c r="L28" s="18">
        <f t="shared" si="3"/>
        <v>0</v>
      </c>
      <c r="M28" s="18"/>
      <c r="N28" s="18"/>
      <c r="O28" s="18">
        <f t="shared" si="4"/>
        <v>0</v>
      </c>
      <c r="P28" s="18">
        <f t="shared" si="5"/>
        <v>0</v>
      </c>
      <c r="Q28" s="18"/>
      <c r="R28" s="18"/>
      <c r="S28" s="18">
        <f t="shared" si="6"/>
        <v>0</v>
      </c>
      <c r="T28" s="18">
        <f t="shared" si="7"/>
        <v>0</v>
      </c>
      <c r="U28" s="18"/>
      <c r="V28" s="18"/>
      <c r="W28" s="18">
        <f t="shared" si="8"/>
        <v>0</v>
      </c>
      <c r="X28" s="18">
        <f t="shared" si="9"/>
        <v>0</v>
      </c>
      <c r="Y28" s="18"/>
      <c r="Z28" s="18"/>
      <c r="AA28" s="18">
        <f t="shared" si="10"/>
        <v>0</v>
      </c>
      <c r="AB28" s="18">
        <f t="shared" si="11"/>
        <v>0</v>
      </c>
      <c r="AC28" s="18"/>
      <c r="AD28" s="18"/>
      <c r="AE28" s="18">
        <f t="shared" si="12"/>
        <v>0</v>
      </c>
      <c r="AF28" s="18">
        <f t="shared" si="13"/>
        <v>0</v>
      </c>
      <c r="AG28" s="18"/>
      <c r="AH28" s="18"/>
      <c r="AI28" s="18">
        <f t="shared" si="14"/>
        <v>0</v>
      </c>
      <c r="AJ28" s="18">
        <f t="shared" si="15"/>
        <v>0</v>
      </c>
      <c r="AK28" s="18"/>
      <c r="AL28" s="18"/>
      <c r="AM28" s="18">
        <f t="shared" si="16"/>
        <v>0</v>
      </c>
      <c r="AN28" s="18">
        <f t="shared" si="17"/>
        <v>0</v>
      </c>
      <c r="AP28">
        <f t="shared" si="18"/>
        <v>0</v>
      </c>
      <c r="AQ28">
        <f t="shared" si="19"/>
        <v>0</v>
      </c>
      <c r="AR28">
        <f t="shared" si="20"/>
        <v>0</v>
      </c>
    </row>
    <row r="29" spans="1:44" x14ac:dyDescent="0.3">
      <c r="A29" s="2" t="s">
        <v>63</v>
      </c>
      <c r="B29" s="2" t="s">
        <v>64</v>
      </c>
      <c r="C29">
        <v>2.5920000000000001E-3</v>
      </c>
      <c r="D29">
        <v>2.5923091106368466E-3</v>
      </c>
      <c r="E29" s="18"/>
      <c r="F29" s="18"/>
      <c r="G29" s="18">
        <f t="shared" si="0"/>
        <v>0</v>
      </c>
      <c r="H29" s="18">
        <f t="shared" si="1"/>
        <v>0</v>
      </c>
      <c r="I29" s="18"/>
      <c r="J29" s="18"/>
      <c r="K29" s="18">
        <f t="shared" si="2"/>
        <v>0</v>
      </c>
      <c r="L29" s="18">
        <f t="shared" si="3"/>
        <v>0</v>
      </c>
      <c r="M29" s="18"/>
      <c r="N29" s="18"/>
      <c r="O29" s="18">
        <f t="shared" si="4"/>
        <v>0</v>
      </c>
      <c r="P29" s="18">
        <f t="shared" si="5"/>
        <v>0</v>
      </c>
      <c r="Q29" s="18"/>
      <c r="R29" s="18"/>
      <c r="S29" s="18">
        <f t="shared" si="6"/>
        <v>0</v>
      </c>
      <c r="T29" s="18">
        <f t="shared" si="7"/>
        <v>0</v>
      </c>
      <c r="U29" s="18"/>
      <c r="V29" s="18"/>
      <c r="W29" s="18">
        <f t="shared" si="8"/>
        <v>0</v>
      </c>
      <c r="X29" s="18">
        <f t="shared" si="9"/>
        <v>0</v>
      </c>
      <c r="Y29" s="18"/>
      <c r="Z29" s="18"/>
      <c r="AA29" s="18">
        <f t="shared" si="10"/>
        <v>0</v>
      </c>
      <c r="AB29" s="18">
        <f t="shared" si="11"/>
        <v>0</v>
      </c>
      <c r="AC29" s="18"/>
      <c r="AD29" s="18"/>
      <c r="AE29" s="18">
        <f t="shared" si="12"/>
        <v>0</v>
      </c>
      <c r="AF29" s="18">
        <f t="shared" si="13"/>
        <v>0</v>
      </c>
      <c r="AG29" s="18"/>
      <c r="AH29" s="18"/>
      <c r="AI29" s="18">
        <f t="shared" si="14"/>
        <v>0</v>
      </c>
      <c r="AJ29" s="18">
        <f t="shared" si="15"/>
        <v>0</v>
      </c>
      <c r="AK29" s="18"/>
      <c r="AL29" s="18"/>
      <c r="AM29" s="18">
        <f t="shared" si="16"/>
        <v>0</v>
      </c>
      <c r="AN29" s="18">
        <f t="shared" si="17"/>
        <v>0</v>
      </c>
      <c r="AP29">
        <f t="shared" si="18"/>
        <v>0</v>
      </c>
      <c r="AQ29">
        <f t="shared" si="19"/>
        <v>0</v>
      </c>
      <c r="AR29">
        <f t="shared" si="20"/>
        <v>0</v>
      </c>
    </row>
    <row r="30" spans="1:44" x14ac:dyDescent="0.3">
      <c r="A30" s="2" t="s">
        <v>65</v>
      </c>
      <c r="B30" s="2" t="s">
        <v>66</v>
      </c>
      <c r="C30">
        <v>3.0299999999999999E-4</v>
      </c>
      <c r="D30">
        <v>3.0298469039786264E-4</v>
      </c>
      <c r="E30" s="18"/>
      <c r="F30" s="18"/>
      <c r="G30" s="18">
        <f t="shared" si="0"/>
        <v>0</v>
      </c>
      <c r="H30" s="18">
        <f t="shared" si="1"/>
        <v>0</v>
      </c>
      <c r="I30" s="18"/>
      <c r="J30" s="18"/>
      <c r="K30" s="18">
        <f t="shared" si="2"/>
        <v>0</v>
      </c>
      <c r="L30" s="18">
        <f t="shared" si="3"/>
        <v>0</v>
      </c>
      <c r="M30" s="18"/>
      <c r="N30" s="18"/>
      <c r="O30" s="18">
        <f t="shared" si="4"/>
        <v>0</v>
      </c>
      <c r="P30" s="18">
        <f t="shared" si="5"/>
        <v>0</v>
      </c>
      <c r="Q30" s="18"/>
      <c r="R30" s="18"/>
      <c r="S30" s="18">
        <f t="shared" si="6"/>
        <v>0</v>
      </c>
      <c r="T30" s="18">
        <f t="shared" si="7"/>
        <v>0</v>
      </c>
      <c r="U30" s="18"/>
      <c r="V30" s="18"/>
      <c r="W30" s="18">
        <f t="shared" si="8"/>
        <v>0</v>
      </c>
      <c r="X30" s="18">
        <f t="shared" si="9"/>
        <v>0</v>
      </c>
      <c r="Y30" s="18"/>
      <c r="Z30" s="18"/>
      <c r="AA30" s="18">
        <f t="shared" si="10"/>
        <v>0</v>
      </c>
      <c r="AB30" s="18">
        <f t="shared" si="11"/>
        <v>0</v>
      </c>
      <c r="AC30" s="18"/>
      <c r="AD30" s="18"/>
      <c r="AE30" s="18">
        <f t="shared" si="12"/>
        <v>0</v>
      </c>
      <c r="AF30" s="18">
        <f t="shared" si="13"/>
        <v>0</v>
      </c>
      <c r="AG30" s="18"/>
      <c r="AH30" s="18"/>
      <c r="AI30" s="18">
        <f t="shared" si="14"/>
        <v>0</v>
      </c>
      <c r="AJ30" s="18">
        <f t="shared" si="15"/>
        <v>0</v>
      </c>
      <c r="AK30" s="18"/>
      <c r="AL30" s="18"/>
      <c r="AM30" s="18">
        <f t="shared" si="16"/>
        <v>0</v>
      </c>
      <c r="AN30" s="18">
        <f t="shared" si="17"/>
        <v>0</v>
      </c>
      <c r="AP30">
        <f t="shared" si="18"/>
        <v>0</v>
      </c>
      <c r="AQ30">
        <f t="shared" si="19"/>
        <v>0</v>
      </c>
      <c r="AR30">
        <f t="shared" si="20"/>
        <v>0</v>
      </c>
    </row>
    <row r="31" spans="1:44" x14ac:dyDescent="0.3">
      <c r="A31" s="2" t="s">
        <v>67</v>
      </c>
      <c r="B31" s="2" t="s">
        <v>68</v>
      </c>
      <c r="C31">
        <v>1.6241999999999999E-2</v>
      </c>
      <c r="D31">
        <v>1.6830003690291553E-2</v>
      </c>
      <c r="E31" s="18"/>
      <c r="F31" s="18"/>
      <c r="G31" s="18">
        <f t="shared" si="0"/>
        <v>0</v>
      </c>
      <c r="H31" s="18">
        <f t="shared" si="1"/>
        <v>0</v>
      </c>
      <c r="I31" s="18"/>
      <c r="J31" s="18"/>
      <c r="K31" s="18">
        <f t="shared" si="2"/>
        <v>0</v>
      </c>
      <c r="L31" s="18">
        <f t="shared" si="3"/>
        <v>0</v>
      </c>
      <c r="M31" s="18"/>
      <c r="N31" s="18"/>
      <c r="O31" s="18">
        <f t="shared" si="4"/>
        <v>0</v>
      </c>
      <c r="P31" s="18">
        <f t="shared" si="5"/>
        <v>0</v>
      </c>
      <c r="Q31" s="18"/>
      <c r="R31" s="18"/>
      <c r="S31" s="18">
        <f t="shared" si="6"/>
        <v>0</v>
      </c>
      <c r="T31" s="18">
        <f t="shared" si="7"/>
        <v>0</v>
      </c>
      <c r="U31" s="18"/>
      <c r="V31" s="18"/>
      <c r="W31" s="18">
        <f t="shared" si="8"/>
        <v>0</v>
      </c>
      <c r="X31" s="18">
        <f t="shared" si="9"/>
        <v>0</v>
      </c>
      <c r="Y31" s="18"/>
      <c r="Z31" s="18"/>
      <c r="AA31" s="18">
        <f t="shared" si="10"/>
        <v>0</v>
      </c>
      <c r="AB31" s="18">
        <f t="shared" si="11"/>
        <v>0</v>
      </c>
      <c r="AC31" s="18"/>
      <c r="AD31" s="18"/>
      <c r="AE31" s="18">
        <f t="shared" si="12"/>
        <v>0</v>
      </c>
      <c r="AF31" s="18">
        <f t="shared" si="13"/>
        <v>0</v>
      </c>
      <c r="AG31" s="18"/>
      <c r="AH31" s="18"/>
      <c r="AI31" s="18">
        <f t="shared" si="14"/>
        <v>0</v>
      </c>
      <c r="AJ31" s="18">
        <f t="shared" si="15"/>
        <v>0</v>
      </c>
      <c r="AK31" s="18"/>
      <c r="AL31" s="18"/>
      <c r="AM31" s="18">
        <f t="shared" si="16"/>
        <v>0</v>
      </c>
      <c r="AN31" s="18">
        <f t="shared" si="17"/>
        <v>0</v>
      </c>
      <c r="AP31">
        <f t="shared" si="18"/>
        <v>0</v>
      </c>
      <c r="AQ31">
        <f t="shared" si="19"/>
        <v>0</v>
      </c>
      <c r="AR31">
        <f t="shared" si="20"/>
        <v>0</v>
      </c>
    </row>
    <row r="32" spans="1:44" x14ac:dyDescent="0.3">
      <c r="A32" s="2" t="s">
        <v>69</v>
      </c>
      <c r="B32" s="2" t="s">
        <v>70</v>
      </c>
      <c r="C32">
        <v>5.3799999999999996E-4</v>
      </c>
      <c r="D32">
        <v>8.4040650188467649E-3</v>
      </c>
      <c r="E32" s="18">
        <v>2.4450304755584275E-4</v>
      </c>
      <c r="F32" s="18"/>
      <c r="G32" s="18">
        <f t="shared" si="0"/>
        <v>1.4670182853350564E-4</v>
      </c>
      <c r="H32" s="18">
        <f t="shared" si="1"/>
        <v>2.9093426455831288E-2</v>
      </c>
      <c r="I32" s="18"/>
      <c r="J32" s="18"/>
      <c r="K32" s="18">
        <f t="shared" si="2"/>
        <v>0</v>
      </c>
      <c r="L32" s="18">
        <f t="shared" si="3"/>
        <v>0</v>
      </c>
      <c r="M32" s="18"/>
      <c r="N32" s="18"/>
      <c r="O32" s="18">
        <f t="shared" si="4"/>
        <v>0</v>
      </c>
      <c r="P32" s="18">
        <f t="shared" si="5"/>
        <v>0</v>
      </c>
      <c r="Q32" s="18">
        <v>6.7131665335221975E-6</v>
      </c>
      <c r="R32" s="18"/>
      <c r="S32" s="18">
        <f t="shared" si="6"/>
        <v>2.0139499600566592E-6</v>
      </c>
      <c r="T32" s="18">
        <f t="shared" si="7"/>
        <v>7.9879992818563436E-4</v>
      </c>
      <c r="U32" s="18"/>
      <c r="V32" s="18"/>
      <c r="W32" s="18">
        <f t="shared" si="8"/>
        <v>0</v>
      </c>
      <c r="X32" s="18">
        <f t="shared" si="9"/>
        <v>0</v>
      </c>
      <c r="Y32" s="18"/>
      <c r="Z32" s="18"/>
      <c r="AA32" s="18">
        <f t="shared" si="10"/>
        <v>0</v>
      </c>
      <c r="AB32" s="18">
        <f t="shared" si="11"/>
        <v>0</v>
      </c>
      <c r="AC32" s="18">
        <v>5.8864388222413201E-3</v>
      </c>
      <c r="AD32" s="18"/>
      <c r="AE32" s="18">
        <f t="shared" si="12"/>
        <v>2.94321941112066E-3</v>
      </c>
      <c r="AF32" s="18">
        <f t="shared" si="13"/>
        <v>0.70042756797341843</v>
      </c>
      <c r="AG32" s="18"/>
      <c r="AH32" s="18"/>
      <c r="AI32" s="18">
        <f t="shared" si="14"/>
        <v>0</v>
      </c>
      <c r="AJ32" s="18">
        <f t="shared" si="15"/>
        <v>0</v>
      </c>
      <c r="AK32" s="18">
        <v>8.6480949762991651E-6</v>
      </c>
      <c r="AL32" s="18"/>
      <c r="AM32" s="18">
        <f t="shared" si="16"/>
        <v>3.4592379905196664E-6</v>
      </c>
      <c r="AN32" s="18">
        <f t="shared" si="17"/>
        <v>1.029037133447343E-3</v>
      </c>
      <c r="AP32">
        <f t="shared" si="18"/>
        <v>1.4670182853350564E-4</v>
      </c>
      <c r="AQ32">
        <f t="shared" si="19"/>
        <v>7.3350914266752821E-5</v>
      </c>
      <c r="AR32">
        <f t="shared" si="20"/>
        <v>7.3350914266752821E-5</v>
      </c>
    </row>
    <row r="33" spans="1:44" x14ac:dyDescent="0.3">
      <c r="A33" s="2" t="s">
        <v>71</v>
      </c>
      <c r="B33" s="2" t="s">
        <v>72</v>
      </c>
      <c r="C33">
        <v>1.5147000000000001E-2</v>
      </c>
      <c r="D33">
        <v>1.5147394114730138E-2</v>
      </c>
      <c r="E33" s="18"/>
      <c r="F33" s="18"/>
      <c r="G33" s="18">
        <f t="shared" si="0"/>
        <v>0</v>
      </c>
      <c r="H33" s="18">
        <f t="shared" si="1"/>
        <v>0</v>
      </c>
      <c r="I33" s="18"/>
      <c r="J33" s="18"/>
      <c r="K33" s="18">
        <f t="shared" si="2"/>
        <v>0</v>
      </c>
      <c r="L33" s="18">
        <f t="shared" si="3"/>
        <v>0</v>
      </c>
      <c r="M33" s="18"/>
      <c r="N33" s="18"/>
      <c r="O33" s="18">
        <f t="shared" si="4"/>
        <v>0</v>
      </c>
      <c r="P33" s="18">
        <f t="shared" si="5"/>
        <v>0</v>
      </c>
      <c r="Q33" s="18"/>
      <c r="R33" s="18"/>
      <c r="S33" s="18">
        <f t="shared" si="6"/>
        <v>0</v>
      </c>
      <c r="T33" s="18">
        <f t="shared" si="7"/>
        <v>0</v>
      </c>
      <c r="U33" s="18"/>
      <c r="V33" s="18"/>
      <c r="W33" s="18">
        <f t="shared" si="8"/>
        <v>0</v>
      </c>
      <c r="X33" s="18">
        <f t="shared" si="9"/>
        <v>0</v>
      </c>
      <c r="Y33" s="18"/>
      <c r="Z33" s="18"/>
      <c r="AA33" s="18">
        <f t="shared" si="10"/>
        <v>0</v>
      </c>
      <c r="AB33" s="18">
        <f t="shared" si="11"/>
        <v>0</v>
      </c>
      <c r="AC33" s="18"/>
      <c r="AD33" s="18"/>
      <c r="AE33" s="18">
        <f t="shared" si="12"/>
        <v>0</v>
      </c>
      <c r="AF33" s="18">
        <f t="shared" si="13"/>
        <v>0</v>
      </c>
      <c r="AG33" s="18"/>
      <c r="AH33" s="18"/>
      <c r="AI33" s="18">
        <f t="shared" si="14"/>
        <v>0</v>
      </c>
      <c r="AJ33" s="18">
        <f t="shared" si="15"/>
        <v>0</v>
      </c>
      <c r="AK33" s="18"/>
      <c r="AL33" s="18"/>
      <c r="AM33" s="18">
        <f t="shared" si="16"/>
        <v>0</v>
      </c>
      <c r="AN33" s="18">
        <f t="shared" si="17"/>
        <v>0</v>
      </c>
      <c r="AP33">
        <f t="shared" si="18"/>
        <v>0</v>
      </c>
      <c r="AQ33">
        <f t="shared" si="19"/>
        <v>0</v>
      </c>
      <c r="AR33">
        <f t="shared" si="20"/>
        <v>0</v>
      </c>
    </row>
    <row r="34" spans="1:44" x14ac:dyDescent="0.3">
      <c r="A34" s="2" t="s">
        <v>73</v>
      </c>
      <c r="B34" s="2" t="s">
        <v>74</v>
      </c>
      <c r="C34">
        <v>5.509E-3</v>
      </c>
      <c r="D34">
        <v>5.5091748951137847E-3</v>
      </c>
      <c r="E34" s="18"/>
      <c r="F34" s="18"/>
      <c r="G34" s="18">
        <f t="shared" si="0"/>
        <v>0</v>
      </c>
      <c r="H34" s="18">
        <f t="shared" si="1"/>
        <v>0</v>
      </c>
      <c r="I34" s="18"/>
      <c r="J34" s="18"/>
      <c r="K34" s="18">
        <f t="shared" si="2"/>
        <v>0</v>
      </c>
      <c r="L34" s="18">
        <f t="shared" si="3"/>
        <v>0</v>
      </c>
      <c r="M34" s="18"/>
      <c r="N34" s="18"/>
      <c r="O34" s="18">
        <f t="shared" si="4"/>
        <v>0</v>
      </c>
      <c r="P34" s="18">
        <f t="shared" si="5"/>
        <v>0</v>
      </c>
      <c r="Q34" s="18"/>
      <c r="R34" s="18"/>
      <c r="S34" s="18">
        <f t="shared" si="6"/>
        <v>0</v>
      </c>
      <c r="T34" s="18">
        <f t="shared" si="7"/>
        <v>0</v>
      </c>
      <c r="U34" s="18"/>
      <c r="V34" s="18"/>
      <c r="W34" s="18">
        <f t="shared" si="8"/>
        <v>0</v>
      </c>
      <c r="X34" s="18">
        <f t="shared" si="9"/>
        <v>0</v>
      </c>
      <c r="Y34" s="18"/>
      <c r="Z34" s="18"/>
      <c r="AA34" s="18">
        <f t="shared" si="10"/>
        <v>0</v>
      </c>
      <c r="AB34" s="18">
        <f t="shared" si="11"/>
        <v>0</v>
      </c>
      <c r="AC34" s="18"/>
      <c r="AD34" s="18"/>
      <c r="AE34" s="18">
        <f t="shared" si="12"/>
        <v>0</v>
      </c>
      <c r="AF34" s="18">
        <f t="shared" si="13"/>
        <v>0</v>
      </c>
      <c r="AG34" s="18"/>
      <c r="AH34" s="18"/>
      <c r="AI34" s="18">
        <f t="shared" si="14"/>
        <v>0</v>
      </c>
      <c r="AJ34" s="18">
        <f t="shared" si="15"/>
        <v>0</v>
      </c>
      <c r="AK34" s="18"/>
      <c r="AL34" s="18"/>
      <c r="AM34" s="18">
        <f t="shared" si="16"/>
        <v>0</v>
      </c>
      <c r="AN34" s="18">
        <f t="shared" si="17"/>
        <v>0</v>
      </c>
      <c r="AP34">
        <f t="shared" si="18"/>
        <v>0</v>
      </c>
      <c r="AQ34">
        <f t="shared" si="19"/>
        <v>0</v>
      </c>
      <c r="AR34">
        <f t="shared" si="20"/>
        <v>0</v>
      </c>
    </row>
    <row r="35" spans="1:44" x14ac:dyDescent="0.3">
      <c r="A35" s="2" t="s">
        <v>75</v>
      </c>
      <c r="B35" s="2" t="s">
        <v>76</v>
      </c>
      <c r="C35">
        <v>1.09E-3</v>
      </c>
      <c r="D35">
        <v>1.4223423891306945E-3</v>
      </c>
      <c r="E35" s="18"/>
      <c r="F35" s="18"/>
      <c r="G35" s="18">
        <f t="shared" si="0"/>
        <v>0</v>
      </c>
      <c r="H35" s="18">
        <f t="shared" si="1"/>
        <v>0</v>
      </c>
      <c r="I35" s="18"/>
      <c r="J35" s="18"/>
      <c r="K35" s="18">
        <f t="shared" si="2"/>
        <v>0</v>
      </c>
      <c r="L35" s="18">
        <f t="shared" si="3"/>
        <v>0</v>
      </c>
      <c r="M35" s="18"/>
      <c r="N35" s="18"/>
      <c r="O35" s="18">
        <f t="shared" ref="O35:O67" si="21">+M35*$N$3</f>
        <v>0</v>
      </c>
      <c r="P35" s="18">
        <f t="shared" si="5"/>
        <v>0</v>
      </c>
      <c r="Q35" s="18"/>
      <c r="R35" s="18"/>
      <c r="S35" s="18">
        <f t="shared" si="6"/>
        <v>0</v>
      </c>
      <c r="T35" s="18">
        <f t="shared" si="7"/>
        <v>0</v>
      </c>
      <c r="U35" s="18"/>
      <c r="V35" s="18"/>
      <c r="W35" s="18">
        <f t="shared" si="8"/>
        <v>0</v>
      </c>
      <c r="X35" s="18">
        <f t="shared" si="9"/>
        <v>0</v>
      </c>
      <c r="Y35" s="18"/>
      <c r="Z35" s="18"/>
      <c r="AA35" s="18">
        <f t="shared" si="10"/>
        <v>0</v>
      </c>
      <c r="AB35" s="18">
        <f t="shared" si="11"/>
        <v>0</v>
      </c>
      <c r="AC35" s="18"/>
      <c r="AD35" s="18"/>
      <c r="AE35" s="18">
        <f t="shared" si="12"/>
        <v>0</v>
      </c>
      <c r="AF35" s="18">
        <f t="shared" si="13"/>
        <v>0</v>
      </c>
      <c r="AG35" s="18"/>
      <c r="AH35" s="18"/>
      <c r="AI35" s="18">
        <f t="shared" si="14"/>
        <v>0</v>
      </c>
      <c r="AJ35" s="18">
        <f t="shared" si="15"/>
        <v>0</v>
      </c>
      <c r="AK35" s="18"/>
      <c r="AL35" s="18"/>
      <c r="AM35" s="18">
        <f t="shared" si="16"/>
        <v>0</v>
      </c>
      <c r="AN35" s="18">
        <f t="shared" si="17"/>
        <v>0</v>
      </c>
      <c r="AP35">
        <f t="shared" si="18"/>
        <v>0</v>
      </c>
      <c r="AQ35">
        <f t="shared" si="19"/>
        <v>0</v>
      </c>
      <c r="AR35">
        <f t="shared" si="20"/>
        <v>0</v>
      </c>
    </row>
    <row r="36" spans="1:44" x14ac:dyDescent="0.3">
      <c r="A36" s="2" t="s">
        <v>77</v>
      </c>
      <c r="B36" s="2" t="s">
        <v>78</v>
      </c>
      <c r="C36">
        <v>1.5319999999999999E-3</v>
      </c>
      <c r="D36">
        <v>2.0064464283994447E-3</v>
      </c>
      <c r="E36" s="18"/>
      <c r="F36" s="18"/>
      <c r="G36" s="18">
        <f t="shared" si="0"/>
        <v>0</v>
      </c>
      <c r="H36" s="18">
        <f t="shared" si="1"/>
        <v>0</v>
      </c>
      <c r="I36" s="18"/>
      <c r="J36" s="18"/>
      <c r="K36" s="18">
        <f t="shared" si="2"/>
        <v>0</v>
      </c>
      <c r="L36" s="18">
        <f t="shared" si="3"/>
        <v>0</v>
      </c>
      <c r="M36" s="18"/>
      <c r="N36" s="18"/>
      <c r="O36" s="18">
        <f t="shared" si="21"/>
        <v>0</v>
      </c>
      <c r="P36" s="18">
        <f t="shared" si="5"/>
        <v>0</v>
      </c>
      <c r="Q36" s="18"/>
      <c r="R36" s="18"/>
      <c r="S36" s="18">
        <f t="shared" si="6"/>
        <v>0</v>
      </c>
      <c r="T36" s="18">
        <f t="shared" si="7"/>
        <v>0</v>
      </c>
      <c r="U36" s="18">
        <v>6.4377368428753272E-4</v>
      </c>
      <c r="V36" s="18"/>
      <c r="W36" s="18">
        <f t="shared" si="8"/>
        <v>2.5750947371501308E-4</v>
      </c>
      <c r="X36" s="18">
        <f t="shared" si="9"/>
        <v>0.32085266527702672</v>
      </c>
      <c r="Y36" s="18"/>
      <c r="Z36" s="18"/>
      <c r="AA36" s="18">
        <f t="shared" si="10"/>
        <v>0</v>
      </c>
      <c r="AB36" s="18">
        <f t="shared" si="11"/>
        <v>0</v>
      </c>
      <c r="AC36" s="18"/>
      <c r="AD36" s="18"/>
      <c r="AE36" s="18">
        <f t="shared" si="12"/>
        <v>0</v>
      </c>
      <c r="AF36" s="18">
        <f t="shared" si="13"/>
        <v>0</v>
      </c>
      <c r="AG36" s="18"/>
      <c r="AH36" s="18"/>
      <c r="AI36" s="18">
        <f t="shared" si="14"/>
        <v>0</v>
      </c>
      <c r="AJ36" s="18">
        <f t="shared" si="15"/>
        <v>0</v>
      </c>
      <c r="AK36" s="18">
        <v>2.2675978905387028E-3</v>
      </c>
      <c r="AL36" s="18"/>
      <c r="AM36" s="18">
        <f t="shared" si="16"/>
        <v>9.070391562154812E-4</v>
      </c>
      <c r="AN36" s="18">
        <f t="shared" si="17"/>
        <v>1.1301562097262574</v>
      </c>
      <c r="AP36">
        <f t="shared" si="18"/>
        <v>0</v>
      </c>
      <c r="AQ36">
        <f t="shared" si="19"/>
        <v>0</v>
      </c>
      <c r="AR36">
        <f t="shared" si="20"/>
        <v>0</v>
      </c>
    </row>
    <row r="37" spans="1:44" x14ac:dyDescent="0.3">
      <c r="A37" s="2" t="s">
        <v>79</v>
      </c>
      <c r="B37" s="2" t="s">
        <v>80</v>
      </c>
      <c r="C37">
        <v>4.7949999999999998E-3</v>
      </c>
      <c r="D37">
        <v>6.962828847423364E-3</v>
      </c>
      <c r="E37" s="18"/>
      <c r="F37" s="18"/>
      <c r="G37" s="18">
        <f t="shared" si="0"/>
        <v>0</v>
      </c>
      <c r="H37" s="18">
        <f t="shared" si="1"/>
        <v>0</v>
      </c>
      <c r="I37" s="18"/>
      <c r="J37" s="18"/>
      <c r="K37" s="18">
        <f t="shared" si="2"/>
        <v>0</v>
      </c>
      <c r="L37" s="18">
        <f t="shared" si="3"/>
        <v>0</v>
      </c>
      <c r="M37" s="18"/>
      <c r="N37" s="18"/>
      <c r="O37" s="18">
        <f t="shared" si="21"/>
        <v>0</v>
      </c>
      <c r="P37" s="18">
        <f t="shared" si="5"/>
        <v>0</v>
      </c>
      <c r="Q37" s="18"/>
      <c r="R37" s="18"/>
      <c r="S37" s="18">
        <f t="shared" si="6"/>
        <v>0</v>
      </c>
      <c r="T37" s="18">
        <f t="shared" si="7"/>
        <v>0</v>
      </c>
      <c r="U37" s="18">
        <v>9.6566052643129907E-4</v>
      </c>
      <c r="V37" s="18"/>
      <c r="W37" s="18">
        <f t="shared" si="8"/>
        <v>3.8626421057251964E-4</v>
      </c>
      <c r="X37" s="18">
        <f t="shared" si="9"/>
        <v>0.13868795967728656</v>
      </c>
      <c r="Y37" s="18"/>
      <c r="Z37" s="18"/>
      <c r="AA37" s="18">
        <f t="shared" si="10"/>
        <v>0</v>
      </c>
      <c r="AB37" s="18">
        <f t="shared" si="11"/>
        <v>0</v>
      </c>
      <c r="AC37" s="18"/>
      <c r="AD37" s="18"/>
      <c r="AE37" s="18">
        <f t="shared" si="12"/>
        <v>0</v>
      </c>
      <c r="AF37" s="18">
        <f t="shared" si="13"/>
        <v>0</v>
      </c>
      <c r="AG37" s="18"/>
      <c r="AH37" s="18"/>
      <c r="AI37" s="18">
        <f t="shared" si="14"/>
        <v>0</v>
      </c>
      <c r="AJ37" s="18">
        <f t="shared" si="15"/>
        <v>0</v>
      </c>
      <c r="AK37" s="18">
        <v>2.0643115021347875E-2</v>
      </c>
      <c r="AL37" s="18"/>
      <c r="AM37" s="18">
        <f t="shared" si="16"/>
        <v>8.2572460085391496E-3</v>
      </c>
      <c r="AN37" s="18">
        <f t="shared" si="17"/>
        <v>2.9647597942877746</v>
      </c>
      <c r="AP37">
        <f t="shared" si="18"/>
        <v>0</v>
      </c>
      <c r="AQ37">
        <f t="shared" si="19"/>
        <v>0</v>
      </c>
      <c r="AR37">
        <f t="shared" si="20"/>
        <v>0</v>
      </c>
    </row>
    <row r="38" spans="1:44" x14ac:dyDescent="0.3">
      <c r="A38" s="2" t="s">
        <v>81</v>
      </c>
      <c r="B38" s="2" t="s">
        <v>82</v>
      </c>
      <c r="C38">
        <v>1.7583999999999999E-2</v>
      </c>
      <c r="D38">
        <v>1.7884854477431492E-2</v>
      </c>
      <c r="E38" s="18">
        <v>6.6947263021242664E-3</v>
      </c>
      <c r="F38" s="18"/>
      <c r="G38" s="18">
        <f t="shared" si="0"/>
        <v>4.0168357812745597E-3</v>
      </c>
      <c r="H38" s="18">
        <f t="shared" si="1"/>
        <v>0.37432377828805907</v>
      </c>
      <c r="I38" s="18"/>
      <c r="J38" s="18"/>
      <c r="K38" s="18">
        <f t="shared" si="2"/>
        <v>0</v>
      </c>
      <c r="L38" s="18">
        <f t="shared" si="3"/>
        <v>0</v>
      </c>
      <c r="M38" s="18"/>
      <c r="N38" s="18"/>
      <c r="O38" s="18">
        <f t="shared" si="21"/>
        <v>0</v>
      </c>
      <c r="P38" s="18">
        <f t="shared" si="5"/>
        <v>0</v>
      </c>
      <c r="Q38" s="18"/>
      <c r="R38" s="18"/>
      <c r="S38" s="18">
        <f t="shared" si="6"/>
        <v>0</v>
      </c>
      <c r="T38" s="18">
        <f t="shared" si="7"/>
        <v>0</v>
      </c>
      <c r="U38" s="18"/>
      <c r="V38" s="18"/>
      <c r="W38" s="18">
        <f t="shared" si="8"/>
        <v>0</v>
      </c>
      <c r="X38" s="18">
        <f t="shared" si="9"/>
        <v>0</v>
      </c>
      <c r="Y38" s="18"/>
      <c r="Z38" s="18"/>
      <c r="AA38" s="18">
        <f t="shared" si="10"/>
        <v>0</v>
      </c>
      <c r="AB38" s="18">
        <f t="shared" si="11"/>
        <v>0</v>
      </c>
      <c r="AC38" s="18"/>
      <c r="AD38" s="18"/>
      <c r="AE38" s="18">
        <f t="shared" si="12"/>
        <v>0</v>
      </c>
      <c r="AF38" s="18">
        <f t="shared" si="13"/>
        <v>0</v>
      </c>
      <c r="AG38" s="18"/>
      <c r="AH38" s="18"/>
      <c r="AI38" s="18">
        <f t="shared" si="14"/>
        <v>0</v>
      </c>
      <c r="AJ38" s="18">
        <f t="shared" si="15"/>
        <v>0</v>
      </c>
      <c r="AK38" s="18"/>
      <c r="AL38" s="18"/>
      <c r="AM38" s="18">
        <f t="shared" si="16"/>
        <v>0</v>
      </c>
      <c r="AN38" s="18">
        <f t="shared" si="17"/>
        <v>0</v>
      </c>
      <c r="AP38">
        <f t="shared" si="18"/>
        <v>4.0168357812745597E-3</v>
      </c>
      <c r="AQ38">
        <f t="shared" si="19"/>
        <v>2.0084178906372798E-3</v>
      </c>
      <c r="AR38">
        <f t="shared" si="20"/>
        <v>2.0084178906372798E-3</v>
      </c>
    </row>
    <row r="39" spans="1:44" x14ac:dyDescent="0.3">
      <c r="A39" s="2" t="s">
        <v>83</v>
      </c>
      <c r="B39" s="2" t="s">
        <v>84</v>
      </c>
      <c r="C39">
        <v>1.3001E-2</v>
      </c>
      <c r="D39">
        <v>1.3005339986076045E-2</v>
      </c>
      <c r="E39" s="18"/>
      <c r="F39" s="18"/>
      <c r="G39" s="18">
        <f t="shared" si="0"/>
        <v>0</v>
      </c>
      <c r="H39" s="18">
        <f t="shared" si="1"/>
        <v>0</v>
      </c>
      <c r="I39" s="18"/>
      <c r="J39" s="18"/>
      <c r="K39" s="18">
        <f t="shared" si="2"/>
        <v>0</v>
      </c>
      <c r="L39" s="18">
        <f t="shared" si="3"/>
        <v>0</v>
      </c>
      <c r="M39" s="18"/>
      <c r="N39" s="18"/>
      <c r="O39" s="18">
        <f t="shared" si="21"/>
        <v>0</v>
      </c>
      <c r="P39" s="18">
        <f t="shared" si="5"/>
        <v>0</v>
      </c>
      <c r="Q39" s="18"/>
      <c r="R39" s="18"/>
      <c r="S39" s="18">
        <f t="shared" si="6"/>
        <v>0</v>
      </c>
      <c r="T39" s="18">
        <f t="shared" si="7"/>
        <v>0</v>
      </c>
      <c r="U39" s="18"/>
      <c r="V39" s="18"/>
      <c r="W39" s="18">
        <f t="shared" si="8"/>
        <v>0</v>
      </c>
      <c r="X39" s="18">
        <f t="shared" si="9"/>
        <v>0</v>
      </c>
      <c r="Y39" s="18"/>
      <c r="Z39" s="18"/>
      <c r="AA39" s="18">
        <f t="shared" si="10"/>
        <v>0</v>
      </c>
      <c r="AB39" s="18">
        <f t="shared" si="11"/>
        <v>0</v>
      </c>
      <c r="AC39" s="18"/>
      <c r="AD39" s="18"/>
      <c r="AE39" s="18">
        <f t="shared" si="12"/>
        <v>0</v>
      </c>
      <c r="AF39" s="18">
        <f t="shared" si="13"/>
        <v>0</v>
      </c>
      <c r="AG39" s="18"/>
      <c r="AH39" s="18"/>
      <c r="AI39" s="18">
        <f t="shared" si="14"/>
        <v>0</v>
      </c>
      <c r="AJ39" s="18">
        <f t="shared" si="15"/>
        <v>0</v>
      </c>
      <c r="AK39" s="18"/>
      <c r="AL39" s="18"/>
      <c r="AM39" s="18">
        <f t="shared" si="16"/>
        <v>0</v>
      </c>
      <c r="AN39" s="18">
        <f t="shared" si="17"/>
        <v>0</v>
      </c>
      <c r="AP39">
        <f t="shared" si="18"/>
        <v>0</v>
      </c>
      <c r="AQ39">
        <f t="shared" si="19"/>
        <v>0</v>
      </c>
      <c r="AR39">
        <f t="shared" si="20"/>
        <v>0</v>
      </c>
    </row>
    <row r="40" spans="1:44" x14ac:dyDescent="0.3">
      <c r="A40" s="2" t="s">
        <v>85</v>
      </c>
      <c r="B40" s="2" t="s">
        <v>86</v>
      </c>
      <c r="C40">
        <v>5.581E-3</v>
      </c>
      <c r="D40">
        <v>6.8829092575489392E-3</v>
      </c>
      <c r="E40" s="18"/>
      <c r="F40" s="18"/>
      <c r="G40" s="18">
        <f t="shared" si="0"/>
        <v>0</v>
      </c>
      <c r="H40" s="18">
        <f t="shared" si="1"/>
        <v>0</v>
      </c>
      <c r="I40" s="18"/>
      <c r="J40" s="18"/>
      <c r="K40" s="18">
        <f t="shared" si="2"/>
        <v>0</v>
      </c>
      <c r="L40" s="18">
        <f t="shared" si="3"/>
        <v>0</v>
      </c>
      <c r="M40" s="18"/>
      <c r="N40" s="18"/>
      <c r="O40" s="18">
        <f t="shared" si="21"/>
        <v>0</v>
      </c>
      <c r="P40" s="18">
        <f t="shared" si="5"/>
        <v>0</v>
      </c>
      <c r="Q40" s="18"/>
      <c r="R40" s="18"/>
      <c r="S40" s="18">
        <f t="shared" si="6"/>
        <v>0</v>
      </c>
      <c r="T40" s="18">
        <f t="shared" si="7"/>
        <v>0</v>
      </c>
      <c r="U40" s="18"/>
      <c r="V40" s="18"/>
      <c r="W40" s="18">
        <f t="shared" si="8"/>
        <v>0</v>
      </c>
      <c r="X40" s="18">
        <f t="shared" si="9"/>
        <v>0</v>
      </c>
      <c r="Y40" s="18"/>
      <c r="Z40" s="18"/>
      <c r="AA40" s="18">
        <f t="shared" si="10"/>
        <v>0</v>
      </c>
      <c r="AB40" s="18">
        <f t="shared" si="11"/>
        <v>0</v>
      </c>
      <c r="AC40" s="18"/>
      <c r="AD40" s="18"/>
      <c r="AE40" s="18">
        <f t="shared" si="12"/>
        <v>0</v>
      </c>
      <c r="AF40" s="18">
        <f t="shared" si="13"/>
        <v>0</v>
      </c>
      <c r="AG40" s="18"/>
      <c r="AH40" s="18"/>
      <c r="AI40" s="18">
        <f t="shared" si="14"/>
        <v>0</v>
      </c>
      <c r="AJ40" s="18">
        <f t="shared" si="15"/>
        <v>0</v>
      </c>
      <c r="AK40" s="18">
        <v>2.4821155711196303E-3</v>
      </c>
      <c r="AL40" s="18"/>
      <c r="AM40" s="18">
        <f t="shared" si="16"/>
        <v>9.9284622844785213E-4</v>
      </c>
      <c r="AN40" s="18">
        <f t="shared" si="17"/>
        <v>0.36062012126592125</v>
      </c>
      <c r="AP40">
        <f t="shared" si="18"/>
        <v>0</v>
      </c>
      <c r="AQ40">
        <f t="shared" si="19"/>
        <v>0</v>
      </c>
      <c r="AR40">
        <f t="shared" si="20"/>
        <v>0</v>
      </c>
    </row>
    <row r="41" spans="1:44" x14ac:dyDescent="0.3">
      <c r="A41" s="2" t="s">
        <v>87</v>
      </c>
      <c r="B41" s="2" t="s">
        <v>88</v>
      </c>
      <c r="C41">
        <v>2.5490000000000001E-3</v>
      </c>
      <c r="D41">
        <v>4.0657277680783083E-3</v>
      </c>
      <c r="E41" s="18"/>
      <c r="F41" s="18"/>
      <c r="G41" s="18">
        <f t="shared" si="0"/>
        <v>0</v>
      </c>
      <c r="H41" s="18">
        <f t="shared" si="1"/>
        <v>0</v>
      </c>
      <c r="I41" s="18"/>
      <c r="J41" s="18"/>
      <c r="K41" s="18">
        <f t="shared" si="2"/>
        <v>0</v>
      </c>
      <c r="L41" s="18">
        <f t="shared" si="3"/>
        <v>0</v>
      </c>
      <c r="M41" s="18"/>
      <c r="N41" s="18"/>
      <c r="O41" s="18">
        <f t="shared" si="21"/>
        <v>0</v>
      </c>
      <c r="P41" s="18">
        <f t="shared" si="5"/>
        <v>0</v>
      </c>
      <c r="Q41" s="18"/>
      <c r="R41" s="18"/>
      <c r="S41" s="18">
        <f t="shared" si="6"/>
        <v>0</v>
      </c>
      <c r="T41" s="18">
        <f t="shared" si="7"/>
        <v>0</v>
      </c>
      <c r="U41" s="18"/>
      <c r="V41" s="18"/>
      <c r="W41" s="18">
        <f t="shared" si="8"/>
        <v>0</v>
      </c>
      <c r="X41" s="18">
        <f t="shared" si="9"/>
        <v>0</v>
      </c>
      <c r="Y41" s="18"/>
      <c r="Z41" s="18"/>
      <c r="AA41" s="18">
        <f t="shared" si="10"/>
        <v>0</v>
      </c>
      <c r="AB41" s="18">
        <f t="shared" si="11"/>
        <v>0</v>
      </c>
      <c r="AC41" s="18"/>
      <c r="AD41" s="18"/>
      <c r="AE41" s="18">
        <f t="shared" si="12"/>
        <v>0</v>
      </c>
      <c r="AF41" s="18">
        <f t="shared" si="13"/>
        <v>0</v>
      </c>
      <c r="AG41" s="18"/>
      <c r="AH41" s="18"/>
      <c r="AI41" s="18">
        <f t="shared" si="14"/>
        <v>0</v>
      </c>
      <c r="AJ41" s="18">
        <f t="shared" si="15"/>
        <v>0</v>
      </c>
      <c r="AK41" s="18">
        <v>4.0657277680783083E-3</v>
      </c>
      <c r="AL41" s="18"/>
      <c r="AM41" s="18">
        <f t="shared" si="16"/>
        <v>1.6262911072313234E-3</v>
      </c>
      <c r="AN41" s="18">
        <f t="shared" si="17"/>
        <v>1</v>
      </c>
      <c r="AP41">
        <f t="shared" si="18"/>
        <v>0</v>
      </c>
      <c r="AQ41">
        <f t="shared" si="19"/>
        <v>0</v>
      </c>
      <c r="AR41">
        <f t="shared" si="20"/>
        <v>0</v>
      </c>
    </row>
    <row r="42" spans="1:44" x14ac:dyDescent="0.3">
      <c r="A42" s="2" t="s">
        <v>89</v>
      </c>
      <c r="B42" s="2" t="s">
        <v>90</v>
      </c>
      <c r="C42">
        <v>2.0699999999999999E-4</v>
      </c>
      <c r="D42">
        <v>2.7629575803122695E-4</v>
      </c>
      <c r="E42" s="18"/>
      <c r="F42" s="18"/>
      <c r="G42" s="18">
        <f t="shared" si="0"/>
        <v>0</v>
      </c>
      <c r="H42" s="18">
        <f t="shared" si="1"/>
        <v>0</v>
      </c>
      <c r="I42" s="18"/>
      <c r="J42" s="18"/>
      <c r="K42" s="18">
        <f t="shared" si="2"/>
        <v>0</v>
      </c>
      <c r="L42" s="18">
        <f t="shared" si="3"/>
        <v>0</v>
      </c>
      <c r="M42" s="18"/>
      <c r="N42" s="18"/>
      <c r="O42" s="18">
        <f t="shared" si="21"/>
        <v>0</v>
      </c>
      <c r="P42" s="18">
        <f t="shared" si="5"/>
        <v>0</v>
      </c>
      <c r="Q42" s="18"/>
      <c r="R42" s="18"/>
      <c r="S42" s="18">
        <f t="shared" si="6"/>
        <v>0</v>
      </c>
      <c r="T42" s="18">
        <f t="shared" si="7"/>
        <v>0</v>
      </c>
      <c r="U42" s="18"/>
      <c r="V42" s="18"/>
      <c r="W42" s="18">
        <f t="shared" si="8"/>
        <v>0</v>
      </c>
      <c r="X42" s="18">
        <f t="shared" si="9"/>
        <v>0</v>
      </c>
      <c r="Y42" s="18"/>
      <c r="Z42" s="18"/>
      <c r="AA42" s="18">
        <f t="shared" si="10"/>
        <v>0</v>
      </c>
      <c r="AB42" s="18">
        <f t="shared" si="11"/>
        <v>0</v>
      </c>
      <c r="AC42" s="18"/>
      <c r="AD42" s="18"/>
      <c r="AE42" s="18">
        <f t="shared" si="12"/>
        <v>0</v>
      </c>
      <c r="AF42" s="18">
        <f t="shared" si="13"/>
        <v>0</v>
      </c>
      <c r="AG42" s="18"/>
      <c r="AH42" s="18"/>
      <c r="AI42" s="18">
        <f t="shared" si="14"/>
        <v>0</v>
      </c>
      <c r="AJ42" s="18">
        <f t="shared" si="15"/>
        <v>0</v>
      </c>
      <c r="AL42" s="18"/>
      <c r="AM42" s="18">
        <f t="shared" si="16"/>
        <v>0</v>
      </c>
      <c r="AN42" s="18">
        <f t="shared" si="17"/>
        <v>0</v>
      </c>
      <c r="AP42">
        <f t="shared" si="18"/>
        <v>0</v>
      </c>
      <c r="AQ42">
        <f t="shared" si="19"/>
        <v>0</v>
      </c>
      <c r="AR42">
        <f t="shared" si="20"/>
        <v>0</v>
      </c>
    </row>
    <row r="43" spans="1:44" x14ac:dyDescent="0.3">
      <c r="A43" s="2" t="s">
        <v>91</v>
      </c>
      <c r="B43" s="2" t="s">
        <v>92</v>
      </c>
      <c r="C43">
        <v>1.3799999999999999E-4</v>
      </c>
      <c r="D43">
        <v>1.1817899868736832E-7</v>
      </c>
      <c r="E43" s="18"/>
      <c r="F43" s="18"/>
      <c r="G43" s="18">
        <f t="shared" si="0"/>
        <v>0</v>
      </c>
      <c r="H43" s="18">
        <f t="shared" si="1"/>
        <v>0</v>
      </c>
      <c r="I43" s="18"/>
      <c r="J43" s="18"/>
      <c r="K43" s="18">
        <f t="shared" si="2"/>
        <v>0</v>
      </c>
      <c r="L43" s="18">
        <f t="shared" si="3"/>
        <v>0</v>
      </c>
      <c r="M43" s="18"/>
      <c r="N43" s="18"/>
      <c r="O43" s="18">
        <f t="shared" si="21"/>
        <v>0</v>
      </c>
      <c r="P43" s="18">
        <f t="shared" si="5"/>
        <v>0</v>
      </c>
      <c r="Q43" s="18"/>
      <c r="R43" s="18"/>
      <c r="S43" s="18">
        <f t="shared" si="6"/>
        <v>0</v>
      </c>
      <c r="T43" s="18">
        <f t="shared" si="7"/>
        <v>0</v>
      </c>
      <c r="U43" s="18"/>
      <c r="V43" s="18"/>
      <c r="W43" s="18">
        <f t="shared" si="8"/>
        <v>0</v>
      </c>
      <c r="X43" s="18">
        <f t="shared" si="9"/>
        <v>0</v>
      </c>
      <c r="Y43" s="18"/>
      <c r="Z43" s="18"/>
      <c r="AA43" s="18">
        <f t="shared" si="10"/>
        <v>0</v>
      </c>
      <c r="AB43" s="18">
        <f t="shared" si="11"/>
        <v>0</v>
      </c>
      <c r="AC43" s="18"/>
      <c r="AD43" s="18"/>
      <c r="AE43" s="18">
        <f t="shared" si="12"/>
        <v>0</v>
      </c>
      <c r="AF43" s="18">
        <f t="shared" si="13"/>
        <v>0</v>
      </c>
      <c r="AG43" s="18"/>
      <c r="AH43" s="18"/>
      <c r="AI43" s="18">
        <f t="shared" si="14"/>
        <v>0</v>
      </c>
      <c r="AJ43" s="18">
        <f t="shared" si="15"/>
        <v>0</v>
      </c>
      <c r="AK43" s="18"/>
      <c r="AL43" s="18"/>
      <c r="AM43" s="18">
        <f t="shared" si="16"/>
        <v>0</v>
      </c>
      <c r="AN43" s="18">
        <f t="shared" si="17"/>
        <v>0</v>
      </c>
      <c r="AP43">
        <f t="shared" si="18"/>
        <v>0</v>
      </c>
      <c r="AQ43">
        <f t="shared" si="19"/>
        <v>0</v>
      </c>
      <c r="AR43">
        <f t="shared" si="20"/>
        <v>0</v>
      </c>
    </row>
    <row r="44" spans="1:44" x14ac:dyDescent="0.3">
      <c r="A44" s="2" t="s">
        <v>93</v>
      </c>
      <c r="B44" s="2" t="s">
        <v>94</v>
      </c>
      <c r="C44">
        <v>5.0850000000000001E-3</v>
      </c>
      <c r="D44">
        <v>5.0853922108742627E-3</v>
      </c>
      <c r="E44" s="18"/>
      <c r="F44" s="18"/>
      <c r="G44" s="18">
        <f t="shared" si="0"/>
        <v>0</v>
      </c>
      <c r="H44" s="18">
        <f t="shared" si="1"/>
        <v>0</v>
      </c>
      <c r="I44" s="18"/>
      <c r="J44" s="18"/>
      <c r="K44" s="18">
        <f t="shared" si="2"/>
        <v>0</v>
      </c>
      <c r="L44" s="18">
        <f t="shared" si="3"/>
        <v>0</v>
      </c>
      <c r="M44" s="18"/>
      <c r="N44" s="18"/>
      <c r="O44" s="18">
        <f t="shared" si="21"/>
        <v>0</v>
      </c>
      <c r="P44" s="18">
        <f t="shared" si="5"/>
        <v>0</v>
      </c>
      <c r="Q44" s="18"/>
      <c r="R44" s="18"/>
      <c r="S44" s="18">
        <f t="shared" si="6"/>
        <v>0</v>
      </c>
      <c r="T44" s="18">
        <f t="shared" si="7"/>
        <v>0</v>
      </c>
      <c r="U44" s="18"/>
      <c r="V44" s="18"/>
      <c r="W44" s="18">
        <f t="shared" si="8"/>
        <v>0</v>
      </c>
      <c r="X44" s="18">
        <f t="shared" si="9"/>
        <v>0</v>
      </c>
      <c r="Y44" s="18"/>
      <c r="Z44" s="18"/>
      <c r="AA44" s="18">
        <f t="shared" si="10"/>
        <v>0</v>
      </c>
      <c r="AB44" s="18">
        <f t="shared" si="11"/>
        <v>0</v>
      </c>
      <c r="AC44" s="18"/>
      <c r="AD44" s="18"/>
      <c r="AE44" s="18">
        <f t="shared" si="12"/>
        <v>0</v>
      </c>
      <c r="AF44" s="18">
        <f t="shared" si="13"/>
        <v>0</v>
      </c>
      <c r="AG44" s="18"/>
      <c r="AH44" s="18"/>
      <c r="AI44" s="18">
        <f t="shared" si="14"/>
        <v>0</v>
      </c>
      <c r="AJ44" s="18">
        <f t="shared" si="15"/>
        <v>0</v>
      </c>
      <c r="AK44" s="18"/>
      <c r="AL44" s="18"/>
      <c r="AM44" s="18">
        <f t="shared" si="16"/>
        <v>0</v>
      </c>
      <c r="AN44" s="18">
        <f t="shared" si="17"/>
        <v>0</v>
      </c>
      <c r="AP44">
        <f t="shared" si="18"/>
        <v>0</v>
      </c>
      <c r="AQ44">
        <f t="shared" si="19"/>
        <v>0</v>
      </c>
      <c r="AR44">
        <f t="shared" si="20"/>
        <v>0</v>
      </c>
    </row>
    <row r="45" spans="1:44" x14ac:dyDescent="0.3">
      <c r="A45" s="2" t="s">
        <v>95</v>
      </c>
      <c r="B45" s="2" t="s">
        <v>96</v>
      </c>
      <c r="C45">
        <v>1.304E-3</v>
      </c>
      <c r="D45">
        <v>1.6121324272585465E-3</v>
      </c>
      <c r="E45" s="18">
        <v>2.9107505661409857E-4</v>
      </c>
      <c r="F45" s="18"/>
      <c r="G45" s="18">
        <f t="shared" si="0"/>
        <v>1.7464503396845914E-4</v>
      </c>
      <c r="H45" s="18">
        <f t="shared" si="1"/>
        <v>0.18055282040885173</v>
      </c>
      <c r="I45" s="18"/>
      <c r="J45" s="18"/>
      <c r="K45" s="18">
        <f t="shared" si="2"/>
        <v>0</v>
      </c>
      <c r="L45" s="18">
        <f t="shared" si="3"/>
        <v>0</v>
      </c>
      <c r="M45" s="18"/>
      <c r="N45" s="18"/>
      <c r="O45" s="18">
        <f t="shared" si="21"/>
        <v>0</v>
      </c>
      <c r="P45" s="18">
        <f t="shared" si="5"/>
        <v>0</v>
      </c>
      <c r="Q45" s="18"/>
      <c r="R45" s="18"/>
      <c r="S45" s="18">
        <f t="shared" si="6"/>
        <v>0</v>
      </c>
      <c r="T45" s="18">
        <f t="shared" si="7"/>
        <v>0</v>
      </c>
      <c r="U45" s="18"/>
      <c r="V45" s="18"/>
      <c r="W45" s="18">
        <f t="shared" si="8"/>
        <v>0</v>
      </c>
      <c r="X45" s="18">
        <f t="shared" si="9"/>
        <v>0</v>
      </c>
      <c r="Y45" s="18"/>
      <c r="Z45" s="18"/>
      <c r="AA45" s="18">
        <f t="shared" si="10"/>
        <v>0</v>
      </c>
      <c r="AB45" s="18">
        <f t="shared" si="11"/>
        <v>0</v>
      </c>
      <c r="AC45" s="18"/>
      <c r="AD45" s="18"/>
      <c r="AE45" s="18">
        <f t="shared" si="12"/>
        <v>0</v>
      </c>
      <c r="AF45" s="18">
        <f t="shared" si="13"/>
        <v>0</v>
      </c>
      <c r="AG45" s="18"/>
      <c r="AH45" s="18"/>
      <c r="AI45" s="18">
        <f t="shared" si="14"/>
        <v>0</v>
      </c>
      <c r="AJ45" s="18">
        <f t="shared" si="15"/>
        <v>0</v>
      </c>
      <c r="AK45" s="18"/>
      <c r="AL45" s="18"/>
      <c r="AM45" s="18">
        <f t="shared" si="16"/>
        <v>0</v>
      </c>
      <c r="AN45" s="18">
        <f t="shared" si="17"/>
        <v>0</v>
      </c>
      <c r="AP45">
        <f t="shared" si="18"/>
        <v>1.7464503396845914E-4</v>
      </c>
      <c r="AQ45">
        <f t="shared" si="19"/>
        <v>8.7322516984229571E-5</v>
      </c>
      <c r="AR45">
        <f t="shared" si="20"/>
        <v>8.7322516984229571E-5</v>
      </c>
    </row>
    <row r="46" spans="1:44" x14ac:dyDescent="0.3">
      <c r="A46" s="2" t="s">
        <v>97</v>
      </c>
      <c r="B46" s="2" t="s">
        <v>98</v>
      </c>
      <c r="C46">
        <v>1.181E-3</v>
      </c>
      <c r="D46">
        <v>1.6363771528394246E-3</v>
      </c>
      <c r="E46" s="18"/>
      <c r="F46" s="18"/>
      <c r="G46" s="18">
        <f t="shared" si="0"/>
        <v>0</v>
      </c>
      <c r="H46" s="18">
        <f t="shared" si="1"/>
        <v>0</v>
      </c>
      <c r="I46" s="18"/>
      <c r="J46" s="18"/>
      <c r="K46" s="18">
        <f t="shared" si="2"/>
        <v>0</v>
      </c>
      <c r="L46" s="18">
        <f t="shared" si="3"/>
        <v>0</v>
      </c>
      <c r="M46" s="18"/>
      <c r="N46" s="18"/>
      <c r="O46" s="18">
        <f t="shared" si="21"/>
        <v>0</v>
      </c>
      <c r="P46" s="18">
        <f t="shared" si="5"/>
        <v>0</v>
      </c>
      <c r="Q46" s="18"/>
      <c r="R46" s="18"/>
      <c r="S46" s="18">
        <f t="shared" si="6"/>
        <v>0</v>
      </c>
      <c r="T46" s="18">
        <f t="shared" si="7"/>
        <v>0</v>
      </c>
      <c r="U46" s="18"/>
      <c r="V46" s="18"/>
      <c r="W46" s="18">
        <f t="shared" si="8"/>
        <v>0</v>
      </c>
      <c r="X46" s="18">
        <f t="shared" si="9"/>
        <v>0</v>
      </c>
      <c r="Y46" s="18"/>
      <c r="Z46" s="18"/>
      <c r="AA46" s="18">
        <f t="shared" si="10"/>
        <v>0</v>
      </c>
      <c r="AB46" s="18">
        <f t="shared" si="11"/>
        <v>0</v>
      </c>
      <c r="AC46" s="18"/>
      <c r="AD46" s="18"/>
      <c r="AE46" s="18">
        <f t="shared" si="12"/>
        <v>0</v>
      </c>
      <c r="AF46" s="18">
        <f t="shared" si="13"/>
        <v>0</v>
      </c>
      <c r="AG46" s="18"/>
      <c r="AH46" s="18"/>
      <c r="AI46" s="18">
        <f t="shared" si="14"/>
        <v>0</v>
      </c>
      <c r="AJ46" s="18">
        <f t="shared" si="15"/>
        <v>0</v>
      </c>
      <c r="AK46" s="18"/>
      <c r="AL46" s="18"/>
      <c r="AM46" s="18">
        <f t="shared" si="16"/>
        <v>0</v>
      </c>
      <c r="AN46" s="18">
        <f t="shared" si="17"/>
        <v>0</v>
      </c>
      <c r="AP46">
        <f t="shared" si="18"/>
        <v>0</v>
      </c>
      <c r="AQ46">
        <f t="shared" si="19"/>
        <v>0</v>
      </c>
      <c r="AR46">
        <f t="shared" si="20"/>
        <v>0</v>
      </c>
    </row>
    <row r="47" spans="1:44" x14ac:dyDescent="0.3">
      <c r="A47" s="2" t="s">
        <v>99</v>
      </c>
      <c r="B47" s="2" t="s">
        <v>100</v>
      </c>
      <c r="C47">
        <v>2.1253000000000001E-2</v>
      </c>
      <c r="D47">
        <v>2.7088409331863839E-2</v>
      </c>
      <c r="E47" s="18">
        <v>3.3764706567235431E-2</v>
      </c>
      <c r="F47" s="18"/>
      <c r="G47" s="18">
        <f t="shared" si="0"/>
        <v>2.0258823940341258E-2</v>
      </c>
      <c r="H47" s="18">
        <f t="shared" si="1"/>
        <v>1.2464632438759822</v>
      </c>
      <c r="I47" s="18">
        <v>1.5909090909090907E-4</v>
      </c>
      <c r="J47" s="18"/>
      <c r="K47" s="18">
        <f t="shared" si="2"/>
        <v>7.9545454545454537E-5</v>
      </c>
      <c r="L47" s="18">
        <f t="shared" si="3"/>
        <v>5.8730251430368025E-3</v>
      </c>
      <c r="M47" s="18">
        <v>1.9680830402263715E-2</v>
      </c>
      <c r="N47" s="18"/>
      <c r="O47" s="18">
        <f t="shared" si="21"/>
        <v>4.9202076005659288E-3</v>
      </c>
      <c r="P47" s="18">
        <f t="shared" si="5"/>
        <v>0.72654064552669551</v>
      </c>
      <c r="Q47" s="18">
        <v>2.0139499600566595E-2</v>
      </c>
      <c r="R47" s="18"/>
      <c r="S47" s="18">
        <f t="shared" si="6"/>
        <v>6.0418498801699779E-3</v>
      </c>
      <c r="T47" s="18">
        <f t="shared" si="7"/>
        <v>0.74347295014021708</v>
      </c>
      <c r="U47" s="18"/>
      <c r="V47" s="18"/>
      <c r="W47" s="18">
        <f t="shared" si="8"/>
        <v>0</v>
      </c>
      <c r="X47" s="18">
        <f t="shared" si="9"/>
        <v>0</v>
      </c>
      <c r="Y47" s="18"/>
      <c r="Z47" s="18"/>
      <c r="AA47" s="18">
        <f t="shared" si="10"/>
        <v>0</v>
      </c>
      <c r="AB47" s="18">
        <f t="shared" si="11"/>
        <v>0</v>
      </c>
      <c r="AC47" s="18"/>
      <c r="AD47" s="18"/>
      <c r="AE47" s="18">
        <f t="shared" si="12"/>
        <v>0</v>
      </c>
      <c r="AF47" s="18">
        <f t="shared" si="13"/>
        <v>0</v>
      </c>
      <c r="AG47" s="18"/>
      <c r="AH47" s="18"/>
      <c r="AI47" s="18">
        <f t="shared" si="14"/>
        <v>0</v>
      </c>
      <c r="AJ47" s="18">
        <f t="shared" si="15"/>
        <v>0</v>
      </c>
      <c r="AK47" s="18"/>
      <c r="AL47" s="18"/>
      <c r="AM47" s="18">
        <f t="shared" si="16"/>
        <v>0</v>
      </c>
      <c r="AN47" s="18">
        <f t="shared" si="17"/>
        <v>0</v>
      </c>
      <c r="AP47">
        <f t="shared" si="18"/>
        <v>2.0338369394886712E-2</v>
      </c>
      <c r="AQ47">
        <f t="shared" si="19"/>
        <v>1.0169184697443356E-2</v>
      </c>
      <c r="AR47">
        <f t="shared" si="20"/>
        <v>1.0169184697443358E-2</v>
      </c>
    </row>
    <row r="48" spans="1:44" x14ac:dyDescent="0.3">
      <c r="A48" s="2" t="s">
        <v>101</v>
      </c>
      <c r="B48" s="2" t="s">
        <v>102</v>
      </c>
      <c r="C48">
        <v>2.833E-3</v>
      </c>
      <c r="D48">
        <v>4.0448163104265062E-3</v>
      </c>
      <c r="E48" s="18"/>
      <c r="F48" s="18"/>
      <c r="G48" s="18">
        <f t="shared" si="0"/>
        <v>0</v>
      </c>
      <c r="H48" s="18">
        <f t="shared" si="1"/>
        <v>0</v>
      </c>
      <c r="I48" s="18"/>
      <c r="J48" s="18"/>
      <c r="K48" s="18">
        <f t="shared" si="2"/>
        <v>0</v>
      </c>
      <c r="L48" s="18">
        <f t="shared" si="3"/>
        <v>0</v>
      </c>
      <c r="M48" s="18"/>
      <c r="N48" s="18"/>
      <c r="O48" s="18">
        <f t="shared" si="21"/>
        <v>0</v>
      </c>
      <c r="P48" s="18">
        <f t="shared" si="5"/>
        <v>0</v>
      </c>
      <c r="Q48" s="18"/>
      <c r="R48" s="18"/>
      <c r="S48" s="18">
        <f t="shared" si="6"/>
        <v>0</v>
      </c>
      <c r="T48" s="18">
        <f t="shared" si="7"/>
        <v>0</v>
      </c>
      <c r="U48" s="18"/>
      <c r="V48" s="18"/>
      <c r="W48" s="18">
        <f t="shared" si="8"/>
        <v>0</v>
      </c>
      <c r="X48" s="18">
        <f t="shared" si="9"/>
        <v>0</v>
      </c>
      <c r="Y48" s="18"/>
      <c r="Z48" s="18"/>
      <c r="AA48" s="18">
        <f t="shared" si="10"/>
        <v>0</v>
      </c>
      <c r="AB48" s="18">
        <f t="shared" si="11"/>
        <v>0</v>
      </c>
      <c r="AC48" s="18"/>
      <c r="AD48" s="18"/>
      <c r="AE48" s="18">
        <f t="shared" si="12"/>
        <v>0</v>
      </c>
      <c r="AF48" s="18">
        <f t="shared" si="13"/>
        <v>0</v>
      </c>
      <c r="AG48" s="18"/>
      <c r="AH48" s="18"/>
      <c r="AI48" s="18">
        <f t="shared" si="14"/>
        <v>0</v>
      </c>
      <c r="AJ48" s="18">
        <f t="shared" si="15"/>
        <v>0</v>
      </c>
      <c r="AK48" s="18"/>
      <c r="AL48" s="18"/>
      <c r="AM48" s="18">
        <f t="shared" si="16"/>
        <v>0</v>
      </c>
      <c r="AN48" s="18">
        <f t="shared" si="17"/>
        <v>0</v>
      </c>
      <c r="AP48">
        <f t="shared" si="18"/>
        <v>0</v>
      </c>
      <c r="AQ48">
        <f t="shared" si="19"/>
        <v>0</v>
      </c>
      <c r="AR48">
        <f t="shared" si="20"/>
        <v>0</v>
      </c>
    </row>
    <row r="49" spans="1:44" x14ac:dyDescent="0.3">
      <c r="A49" s="2" t="s">
        <v>103</v>
      </c>
      <c r="B49" s="2" t="s">
        <v>104</v>
      </c>
      <c r="C49">
        <v>4.8464E-2</v>
      </c>
      <c r="D49">
        <v>4.8473701166917453E-2</v>
      </c>
      <c r="E49" s="18"/>
      <c r="F49" s="18"/>
      <c r="G49" s="18">
        <f t="shared" si="0"/>
        <v>0</v>
      </c>
      <c r="H49" s="18">
        <f t="shared" si="1"/>
        <v>0</v>
      </c>
      <c r="I49" s="18"/>
      <c r="J49" s="18"/>
      <c r="K49" s="18">
        <f t="shared" si="2"/>
        <v>0</v>
      </c>
      <c r="L49" s="18">
        <f t="shared" si="3"/>
        <v>0</v>
      </c>
      <c r="M49" s="18"/>
      <c r="N49" s="18"/>
      <c r="O49" s="18">
        <f t="shared" si="21"/>
        <v>0</v>
      </c>
      <c r="P49" s="18">
        <f t="shared" si="5"/>
        <v>0</v>
      </c>
      <c r="Q49" s="18"/>
      <c r="R49" s="18"/>
      <c r="S49" s="18">
        <f t="shared" si="6"/>
        <v>0</v>
      </c>
      <c r="T49" s="18">
        <f t="shared" si="7"/>
        <v>0</v>
      </c>
      <c r="U49" s="18"/>
      <c r="V49" s="18"/>
      <c r="W49" s="18">
        <f t="shared" si="8"/>
        <v>0</v>
      </c>
      <c r="X49" s="18">
        <f t="shared" si="9"/>
        <v>0</v>
      </c>
      <c r="Y49" s="18"/>
      <c r="Z49" s="18"/>
      <c r="AA49" s="18">
        <f t="shared" si="10"/>
        <v>0</v>
      </c>
      <c r="AB49" s="18">
        <f t="shared" si="11"/>
        <v>0</v>
      </c>
      <c r="AC49" s="18"/>
      <c r="AD49" s="18"/>
      <c r="AE49" s="18">
        <f t="shared" si="12"/>
        <v>0</v>
      </c>
      <c r="AF49" s="18">
        <f t="shared" si="13"/>
        <v>0</v>
      </c>
      <c r="AG49" s="18"/>
      <c r="AH49" s="18"/>
      <c r="AI49" s="18">
        <f t="shared" si="14"/>
        <v>0</v>
      </c>
      <c r="AJ49" s="18">
        <f t="shared" si="15"/>
        <v>0</v>
      </c>
      <c r="AK49" s="18"/>
      <c r="AL49" s="18"/>
      <c r="AM49" s="18">
        <f t="shared" si="16"/>
        <v>0</v>
      </c>
      <c r="AN49" s="18">
        <f t="shared" si="17"/>
        <v>0</v>
      </c>
      <c r="AP49">
        <f t="shared" si="18"/>
        <v>0</v>
      </c>
      <c r="AQ49">
        <f t="shared" si="19"/>
        <v>0</v>
      </c>
      <c r="AR49">
        <f t="shared" si="20"/>
        <v>0</v>
      </c>
    </row>
    <row r="50" spans="1:44" x14ac:dyDescent="0.3">
      <c r="A50" s="2" t="s">
        <v>105</v>
      </c>
      <c r="B50" s="2" t="s">
        <v>106</v>
      </c>
      <c r="C50">
        <v>1.1150000000000001E-3</v>
      </c>
      <c r="D50">
        <v>1.1154349828945019E-3</v>
      </c>
      <c r="E50" s="18"/>
      <c r="F50" s="18"/>
      <c r="G50" s="18">
        <f t="shared" si="0"/>
        <v>0</v>
      </c>
      <c r="H50" s="18">
        <f t="shared" si="1"/>
        <v>0</v>
      </c>
      <c r="I50" s="18"/>
      <c r="J50" s="18"/>
      <c r="K50" s="18">
        <f t="shared" si="2"/>
        <v>0</v>
      </c>
      <c r="L50" s="18">
        <f t="shared" si="3"/>
        <v>0</v>
      </c>
      <c r="M50" s="18"/>
      <c r="N50" s="18"/>
      <c r="O50" s="18">
        <f t="shared" si="21"/>
        <v>0</v>
      </c>
      <c r="P50" s="18">
        <f t="shared" si="5"/>
        <v>0</v>
      </c>
      <c r="Q50" s="18"/>
      <c r="R50" s="18"/>
      <c r="S50" s="18">
        <f t="shared" si="6"/>
        <v>0</v>
      </c>
      <c r="T50" s="18">
        <f t="shared" si="7"/>
        <v>0</v>
      </c>
      <c r="U50" s="18"/>
      <c r="V50" s="18"/>
      <c r="W50" s="18">
        <f t="shared" si="8"/>
        <v>0</v>
      </c>
      <c r="X50" s="18">
        <f t="shared" si="9"/>
        <v>0</v>
      </c>
      <c r="Y50" s="18"/>
      <c r="Z50" s="18"/>
      <c r="AA50" s="18">
        <f t="shared" si="10"/>
        <v>0</v>
      </c>
      <c r="AB50" s="18">
        <f t="shared" si="11"/>
        <v>0</v>
      </c>
      <c r="AC50" s="18"/>
      <c r="AD50" s="18"/>
      <c r="AE50" s="18">
        <f t="shared" si="12"/>
        <v>0</v>
      </c>
      <c r="AF50" s="18">
        <f t="shared" si="13"/>
        <v>0</v>
      </c>
      <c r="AG50" s="18"/>
      <c r="AH50" s="18"/>
      <c r="AI50" s="18">
        <f t="shared" si="14"/>
        <v>0</v>
      </c>
      <c r="AJ50" s="18">
        <f t="shared" si="15"/>
        <v>0</v>
      </c>
      <c r="AK50" s="18"/>
      <c r="AL50" s="18"/>
      <c r="AM50" s="18">
        <f t="shared" si="16"/>
        <v>0</v>
      </c>
      <c r="AN50" s="18">
        <f t="shared" si="17"/>
        <v>0</v>
      </c>
      <c r="AP50">
        <f t="shared" si="18"/>
        <v>0</v>
      </c>
      <c r="AQ50">
        <f t="shared" si="19"/>
        <v>0</v>
      </c>
      <c r="AR50">
        <f t="shared" si="20"/>
        <v>0</v>
      </c>
    </row>
    <row r="51" spans="1:44" x14ac:dyDescent="0.3">
      <c r="A51" s="2" t="s">
        <v>107</v>
      </c>
      <c r="B51" s="2" t="s">
        <v>108</v>
      </c>
      <c r="C51">
        <v>3.192E-3</v>
      </c>
      <c r="D51">
        <v>6.8768267388042287E-3</v>
      </c>
      <c r="E51" s="18"/>
      <c r="F51" s="18"/>
      <c r="G51" s="18">
        <f t="shared" si="0"/>
        <v>0</v>
      </c>
      <c r="H51" s="18">
        <f t="shared" si="1"/>
        <v>0</v>
      </c>
      <c r="I51" s="18"/>
      <c r="J51" s="18"/>
      <c r="K51" s="18">
        <f t="shared" si="2"/>
        <v>0</v>
      </c>
      <c r="L51" s="18">
        <f t="shared" si="3"/>
        <v>0</v>
      </c>
      <c r="M51" s="18"/>
      <c r="N51" s="18"/>
      <c r="O51" s="18">
        <f t="shared" si="21"/>
        <v>0</v>
      </c>
      <c r="P51" s="18">
        <f t="shared" si="5"/>
        <v>0</v>
      </c>
      <c r="Q51" s="18"/>
      <c r="R51" s="18"/>
      <c r="S51" s="18">
        <f t="shared" si="6"/>
        <v>0</v>
      </c>
      <c r="T51" s="18">
        <f t="shared" si="7"/>
        <v>0</v>
      </c>
      <c r="U51" s="18"/>
      <c r="V51" s="18"/>
      <c r="W51" s="18">
        <f t="shared" si="8"/>
        <v>0</v>
      </c>
      <c r="X51" s="18">
        <f t="shared" si="9"/>
        <v>0</v>
      </c>
      <c r="Y51" s="18"/>
      <c r="Z51" s="18"/>
      <c r="AA51" s="18">
        <f t="shared" si="10"/>
        <v>0</v>
      </c>
      <c r="AB51" s="18">
        <f t="shared" si="11"/>
        <v>0</v>
      </c>
      <c r="AC51" s="18"/>
      <c r="AD51" s="18"/>
      <c r="AE51" s="18">
        <f t="shared" si="12"/>
        <v>0</v>
      </c>
      <c r="AF51" s="18">
        <f t="shared" si="13"/>
        <v>0</v>
      </c>
      <c r="AG51" s="18"/>
      <c r="AH51" s="18"/>
      <c r="AI51" s="18">
        <f t="shared" si="14"/>
        <v>0</v>
      </c>
      <c r="AJ51" s="18">
        <f t="shared" si="15"/>
        <v>0</v>
      </c>
      <c r="AK51" s="18"/>
      <c r="AL51" s="18"/>
      <c r="AM51" s="18">
        <f t="shared" si="16"/>
        <v>0</v>
      </c>
      <c r="AN51" s="18">
        <f t="shared" si="17"/>
        <v>0</v>
      </c>
      <c r="AP51">
        <f t="shared" si="18"/>
        <v>0</v>
      </c>
      <c r="AQ51">
        <f t="shared" si="19"/>
        <v>0</v>
      </c>
      <c r="AR51">
        <f t="shared" si="20"/>
        <v>0</v>
      </c>
    </row>
    <row r="52" spans="1:44" x14ac:dyDescent="0.3">
      <c r="A52" s="2" t="s">
        <v>109</v>
      </c>
      <c r="B52" s="2" t="s">
        <v>110</v>
      </c>
      <c r="C52">
        <v>8.2999999999999998E-5</v>
      </c>
      <c r="D52">
        <v>9.4422773243440264E-5</v>
      </c>
      <c r="E52" s="18"/>
      <c r="F52" s="18"/>
      <c r="G52" s="18">
        <f t="shared" si="0"/>
        <v>0</v>
      </c>
      <c r="H52" s="18">
        <f t="shared" si="1"/>
        <v>0</v>
      </c>
      <c r="I52" s="18"/>
      <c r="J52" s="18"/>
      <c r="K52" s="18">
        <f t="shared" si="2"/>
        <v>0</v>
      </c>
      <c r="L52" s="18">
        <f t="shared" si="3"/>
        <v>0</v>
      </c>
      <c r="M52" s="18"/>
      <c r="N52" s="18"/>
      <c r="O52" s="18">
        <f t="shared" si="21"/>
        <v>0</v>
      </c>
      <c r="P52" s="18">
        <f t="shared" si="5"/>
        <v>0</v>
      </c>
      <c r="Q52" s="18"/>
      <c r="R52" s="18"/>
      <c r="S52" s="18">
        <f t="shared" si="6"/>
        <v>0</v>
      </c>
      <c r="T52" s="18">
        <f t="shared" si="7"/>
        <v>0</v>
      </c>
      <c r="U52" s="18"/>
      <c r="V52" s="18"/>
      <c r="W52" s="18">
        <f t="shared" si="8"/>
        <v>0</v>
      </c>
      <c r="X52" s="18">
        <f t="shared" si="9"/>
        <v>0</v>
      </c>
      <c r="Y52" s="18"/>
      <c r="Z52" s="18"/>
      <c r="AA52" s="18">
        <f t="shared" si="10"/>
        <v>0</v>
      </c>
      <c r="AB52" s="18">
        <f t="shared" si="11"/>
        <v>0</v>
      </c>
      <c r="AC52" s="18"/>
      <c r="AD52" s="18"/>
      <c r="AE52" s="18">
        <f t="shared" si="12"/>
        <v>0</v>
      </c>
      <c r="AF52" s="18">
        <f t="shared" si="13"/>
        <v>0</v>
      </c>
      <c r="AG52" s="18"/>
      <c r="AH52" s="18"/>
      <c r="AI52" s="18">
        <f t="shared" si="14"/>
        <v>0</v>
      </c>
      <c r="AJ52" s="18">
        <f t="shared" si="15"/>
        <v>0</v>
      </c>
      <c r="AK52" s="18"/>
      <c r="AL52" s="18"/>
      <c r="AM52" s="18">
        <f t="shared" si="16"/>
        <v>0</v>
      </c>
      <c r="AN52" s="18">
        <f t="shared" si="17"/>
        <v>0</v>
      </c>
      <c r="AP52">
        <f t="shared" si="18"/>
        <v>0</v>
      </c>
      <c r="AQ52">
        <f t="shared" si="19"/>
        <v>0</v>
      </c>
      <c r="AR52">
        <f t="shared" si="20"/>
        <v>0</v>
      </c>
    </row>
    <row r="53" spans="1:44" x14ac:dyDescent="0.3">
      <c r="A53" s="2" t="s">
        <v>111</v>
      </c>
      <c r="B53" s="2" t="s">
        <v>112</v>
      </c>
      <c r="C53">
        <v>8.8893E-2</v>
      </c>
      <c r="D53">
        <v>0.11313553066089697</v>
      </c>
      <c r="E53" s="18">
        <v>7.2186614040296434E-3</v>
      </c>
      <c r="F53" s="18"/>
      <c r="G53" s="18">
        <f t="shared" si="0"/>
        <v>4.3311968424177855E-3</v>
      </c>
      <c r="H53" s="18">
        <f t="shared" si="1"/>
        <v>6.3805431961655432E-2</v>
      </c>
      <c r="I53" s="18">
        <v>7.168181818181818E-2</v>
      </c>
      <c r="J53" s="18"/>
      <c r="K53" s="18">
        <f t="shared" si="2"/>
        <v>3.584090909090909E-2</v>
      </c>
      <c r="L53" s="18">
        <f t="shared" si="3"/>
        <v>0.63359245113430629</v>
      </c>
      <c r="M53" s="18">
        <v>0.1213674537715701</v>
      </c>
      <c r="N53" s="18"/>
      <c r="O53" s="18">
        <f t="shared" si="21"/>
        <v>3.0341863442892525E-2</v>
      </c>
      <c r="P53" s="18">
        <f t="shared" si="5"/>
        <v>1.0727616078042432</v>
      </c>
      <c r="Q53" s="18">
        <v>0.21482132907271034</v>
      </c>
      <c r="R53" s="18"/>
      <c r="S53" s="18">
        <f t="shared" si="6"/>
        <v>6.4446398721813097E-2</v>
      </c>
      <c r="T53" s="18">
        <f t="shared" si="7"/>
        <v>1.8987963181663763</v>
      </c>
      <c r="U53" s="18">
        <v>0.39246784789383587</v>
      </c>
      <c r="V53" s="18"/>
      <c r="W53" s="18">
        <f t="shared" si="8"/>
        <v>0.15698713915753437</v>
      </c>
      <c r="X53" s="18">
        <f t="shared" si="9"/>
        <v>3.4690061168333259</v>
      </c>
      <c r="Y53" s="18">
        <v>4.5679401825875134E-2</v>
      </c>
      <c r="Z53" s="18"/>
      <c r="AA53" s="18">
        <f t="shared" si="10"/>
        <v>2.2839700912937567E-2</v>
      </c>
      <c r="AB53" s="18">
        <f t="shared" si="11"/>
        <v>0.40375823191028087</v>
      </c>
      <c r="AC53" s="18">
        <v>9.8644941783120041E-2</v>
      </c>
      <c r="AD53" s="18"/>
      <c r="AE53" s="18">
        <f t="shared" si="12"/>
        <v>4.932247089156002E-2</v>
      </c>
      <c r="AF53" s="18">
        <f t="shared" si="13"/>
        <v>0.87191831961959132</v>
      </c>
      <c r="AG53" s="18">
        <v>6.2379028150361636E-2</v>
      </c>
      <c r="AH53" s="18"/>
      <c r="AI53" s="18">
        <f t="shared" si="14"/>
        <v>4.9903222520289309E-2</v>
      </c>
      <c r="AJ53" s="18">
        <f t="shared" si="15"/>
        <v>0.55136549752288999</v>
      </c>
      <c r="AK53" s="18">
        <v>0.18897772217040226</v>
      </c>
      <c r="AL53" s="18"/>
      <c r="AM53" s="18">
        <f t="shared" si="16"/>
        <v>7.5591088868160905E-2</v>
      </c>
      <c r="AN53" s="18">
        <f t="shared" si="17"/>
        <v>1.67036580874693</v>
      </c>
      <c r="AP53">
        <f t="shared" si="18"/>
        <v>4.0172105933326874E-2</v>
      </c>
      <c r="AQ53">
        <f t="shared" si="19"/>
        <v>2.0086052966663437E-2</v>
      </c>
      <c r="AR53">
        <f t="shared" si="20"/>
        <v>2.0086052966663437E-2</v>
      </c>
    </row>
    <row r="54" spans="1:44" x14ac:dyDescent="0.3">
      <c r="A54" s="2" t="s">
        <v>113</v>
      </c>
      <c r="B54" s="2" t="s">
        <v>114</v>
      </c>
      <c r="C54">
        <v>1.3090000000000001E-3</v>
      </c>
      <c r="D54">
        <v>1.1162971332933647E-3</v>
      </c>
      <c r="E54" s="18"/>
      <c r="F54" s="18"/>
      <c r="G54" s="18">
        <f t="shared" si="0"/>
        <v>0</v>
      </c>
      <c r="H54" s="18">
        <f t="shared" si="1"/>
        <v>0</v>
      </c>
      <c r="I54" s="18"/>
      <c r="J54" s="18"/>
      <c r="K54" s="18">
        <f t="shared" si="2"/>
        <v>0</v>
      </c>
      <c r="L54" s="18">
        <f t="shared" si="3"/>
        <v>0</v>
      </c>
      <c r="M54" s="18"/>
      <c r="N54" s="18"/>
      <c r="O54" s="18">
        <f t="shared" si="21"/>
        <v>0</v>
      </c>
      <c r="P54" s="18">
        <f t="shared" si="5"/>
        <v>0</v>
      </c>
      <c r="Q54" s="18"/>
      <c r="R54" s="18"/>
      <c r="S54" s="18">
        <f t="shared" si="6"/>
        <v>0</v>
      </c>
      <c r="T54" s="18">
        <f t="shared" si="7"/>
        <v>0</v>
      </c>
      <c r="U54" s="18"/>
      <c r="V54" s="18"/>
      <c r="W54" s="18">
        <f t="shared" si="8"/>
        <v>0</v>
      </c>
      <c r="X54" s="18">
        <f t="shared" si="9"/>
        <v>0</v>
      </c>
      <c r="Y54" s="18"/>
      <c r="Z54" s="18"/>
      <c r="AA54" s="18">
        <f t="shared" si="10"/>
        <v>0</v>
      </c>
      <c r="AB54" s="18">
        <f t="shared" si="11"/>
        <v>0</v>
      </c>
      <c r="AC54" s="18"/>
      <c r="AD54" s="18"/>
      <c r="AE54" s="18">
        <f t="shared" si="12"/>
        <v>0</v>
      </c>
      <c r="AF54" s="18">
        <f t="shared" si="13"/>
        <v>0</v>
      </c>
      <c r="AG54" s="18"/>
      <c r="AH54" s="18"/>
      <c r="AI54" s="18">
        <f t="shared" si="14"/>
        <v>0</v>
      </c>
      <c r="AJ54" s="18">
        <f t="shared" si="15"/>
        <v>0</v>
      </c>
      <c r="AK54" s="18"/>
      <c r="AL54" s="18"/>
      <c r="AM54" s="18">
        <f t="shared" si="16"/>
        <v>0</v>
      </c>
      <c r="AN54" s="18">
        <f t="shared" si="17"/>
        <v>0</v>
      </c>
      <c r="AP54">
        <f t="shared" si="18"/>
        <v>0</v>
      </c>
      <c r="AQ54">
        <f t="shared" si="19"/>
        <v>0</v>
      </c>
      <c r="AR54">
        <f t="shared" si="20"/>
        <v>0</v>
      </c>
    </row>
    <row r="55" spans="1:44" x14ac:dyDescent="0.3">
      <c r="A55" s="2" t="s">
        <v>115</v>
      </c>
      <c r="B55" s="2" t="s">
        <v>116</v>
      </c>
      <c r="C55">
        <v>1.1774E-2</v>
      </c>
      <c r="D55">
        <v>1.3465914044869578E-2</v>
      </c>
      <c r="E55" s="18">
        <v>1.97931038497587E-2</v>
      </c>
      <c r="F55" s="18"/>
      <c r="G55" s="18">
        <f t="shared" si="0"/>
        <v>1.1875862309855221E-2</v>
      </c>
      <c r="H55" s="18">
        <f t="shared" si="1"/>
        <v>1.4698670869134012</v>
      </c>
      <c r="I55" s="18">
        <v>7.3749999999999987E-3</v>
      </c>
      <c r="J55" s="18"/>
      <c r="K55" s="18">
        <f t="shared" si="2"/>
        <v>3.6874999999999994E-3</v>
      </c>
      <c r="L55" s="18">
        <f t="shared" si="3"/>
        <v>0.54767912340936287</v>
      </c>
      <c r="M55" s="18">
        <v>3.4469448695287626E-2</v>
      </c>
      <c r="N55" s="18"/>
      <c r="O55" s="18">
        <f t="shared" si="21"/>
        <v>8.6173621738219065E-3</v>
      </c>
      <c r="P55" s="18">
        <f t="shared" si="5"/>
        <v>2.5597555858764935</v>
      </c>
      <c r="Q55" s="18"/>
      <c r="R55" s="18"/>
      <c r="S55" s="18">
        <f t="shared" si="6"/>
        <v>0</v>
      </c>
      <c r="T55" s="18">
        <f t="shared" si="7"/>
        <v>0</v>
      </c>
      <c r="U55" s="18">
        <v>9.3347184221692237E-3</v>
      </c>
      <c r="V55" s="18"/>
      <c r="W55" s="18">
        <f t="shared" si="8"/>
        <v>3.7338873688676898E-3</v>
      </c>
      <c r="X55" s="18">
        <f t="shared" si="9"/>
        <v>0.69321090206466074</v>
      </c>
      <c r="Y55" s="18"/>
      <c r="Z55" s="18"/>
      <c r="AA55" s="18">
        <f t="shared" si="10"/>
        <v>0</v>
      </c>
      <c r="AB55" s="18">
        <f t="shared" si="11"/>
        <v>0</v>
      </c>
      <c r="AC55" s="18">
        <v>6.3102624174426955E-3</v>
      </c>
      <c r="AD55" s="18"/>
      <c r="AE55" s="18">
        <f t="shared" si="12"/>
        <v>3.1551312087213478E-3</v>
      </c>
      <c r="AF55" s="18">
        <f t="shared" si="13"/>
        <v>0.46861003244312727</v>
      </c>
      <c r="AG55" s="18"/>
      <c r="AH55" s="18"/>
      <c r="AI55" s="18">
        <f t="shared" si="14"/>
        <v>0</v>
      </c>
      <c r="AJ55" s="18">
        <f t="shared" si="15"/>
        <v>0</v>
      </c>
      <c r="AK55" s="18">
        <v>1.3702176455954518E-3</v>
      </c>
      <c r="AL55" s="18"/>
      <c r="AM55" s="18">
        <f t="shared" si="16"/>
        <v>5.4808705823818072E-4</v>
      </c>
      <c r="AN55" s="18">
        <f t="shared" si="17"/>
        <v>0.10175452190098418</v>
      </c>
      <c r="AP55">
        <f t="shared" si="18"/>
        <v>1.556336230985522E-2</v>
      </c>
      <c r="AQ55">
        <f t="shared" si="19"/>
        <v>7.7816811549276102E-3</v>
      </c>
      <c r="AR55">
        <f t="shared" si="20"/>
        <v>7.7816811549276093E-3</v>
      </c>
    </row>
    <row r="56" spans="1:44" x14ac:dyDescent="0.3">
      <c r="A56" s="2" t="s">
        <v>117</v>
      </c>
      <c r="B56" s="2" t="s">
        <v>118</v>
      </c>
      <c r="C56">
        <v>6.1330000000000004E-3</v>
      </c>
      <c r="D56">
        <v>8.9424929186372494E-3</v>
      </c>
      <c r="E56" s="18"/>
      <c r="F56" s="18"/>
      <c r="G56" s="18">
        <f t="shared" si="0"/>
        <v>0</v>
      </c>
      <c r="H56" s="18">
        <f t="shared" si="1"/>
        <v>0</v>
      </c>
      <c r="I56" s="18"/>
      <c r="J56" s="18"/>
      <c r="K56" s="18">
        <f t="shared" si="2"/>
        <v>0</v>
      </c>
      <c r="L56" s="18">
        <f t="shared" si="3"/>
        <v>0</v>
      </c>
      <c r="M56" s="18"/>
      <c r="N56" s="18"/>
      <c r="O56" s="18">
        <f t="shared" si="21"/>
        <v>0</v>
      </c>
      <c r="P56" s="18">
        <f t="shared" si="5"/>
        <v>0</v>
      </c>
      <c r="Q56" s="18"/>
      <c r="R56" s="18"/>
      <c r="S56" s="18">
        <f t="shared" si="6"/>
        <v>0</v>
      </c>
      <c r="T56" s="18">
        <f t="shared" si="7"/>
        <v>0</v>
      </c>
      <c r="U56" s="18">
        <v>5.8524880389775708E-4</v>
      </c>
      <c r="V56" s="18"/>
      <c r="W56" s="18">
        <f t="shared" si="8"/>
        <v>2.3409952155910285E-4</v>
      </c>
      <c r="X56" s="18">
        <f t="shared" si="9"/>
        <v>6.544582245942035E-2</v>
      </c>
      <c r="Y56" s="18"/>
      <c r="Z56" s="18"/>
      <c r="AA56" s="18">
        <f t="shared" si="10"/>
        <v>0</v>
      </c>
      <c r="AB56" s="18">
        <f t="shared" si="11"/>
        <v>0</v>
      </c>
      <c r="AC56" s="18"/>
      <c r="AD56" s="18"/>
      <c r="AE56" s="18">
        <f t="shared" si="12"/>
        <v>0</v>
      </c>
      <c r="AF56" s="18">
        <f t="shared" si="13"/>
        <v>0</v>
      </c>
      <c r="AG56" s="18">
        <v>9.8305545179802351E-3</v>
      </c>
      <c r="AH56" s="18"/>
      <c r="AI56" s="18">
        <f t="shared" si="14"/>
        <v>7.8644436143841881E-3</v>
      </c>
      <c r="AJ56" s="18">
        <f t="shared" si="15"/>
        <v>1.0993080573194705</v>
      </c>
      <c r="AK56" s="18"/>
      <c r="AL56" s="18"/>
      <c r="AM56" s="18">
        <f t="shared" si="16"/>
        <v>0</v>
      </c>
      <c r="AN56" s="18">
        <f t="shared" si="17"/>
        <v>0</v>
      </c>
      <c r="AP56">
        <f t="shared" si="18"/>
        <v>0</v>
      </c>
      <c r="AQ56">
        <f t="shared" si="19"/>
        <v>0</v>
      </c>
      <c r="AR56">
        <f t="shared" si="20"/>
        <v>0</v>
      </c>
    </row>
    <row r="57" spans="1:44" x14ac:dyDescent="0.3">
      <c r="A57" s="2" t="s">
        <v>119</v>
      </c>
      <c r="B57" s="2" t="s">
        <v>120</v>
      </c>
      <c r="C57">
        <v>1.7290000000000001E-3</v>
      </c>
      <c r="D57">
        <v>1.9923201176342484E-3</v>
      </c>
      <c r="E57" s="18"/>
      <c r="F57" s="18"/>
      <c r="G57" s="18">
        <f t="shared" si="0"/>
        <v>0</v>
      </c>
      <c r="H57" s="18">
        <f t="shared" si="1"/>
        <v>0</v>
      </c>
      <c r="I57" s="18"/>
      <c r="J57" s="18"/>
      <c r="K57" s="18">
        <f t="shared" si="2"/>
        <v>0</v>
      </c>
      <c r="L57" s="18">
        <f t="shared" si="3"/>
        <v>0</v>
      </c>
      <c r="M57" s="18"/>
      <c r="N57" s="18"/>
      <c r="O57" s="18">
        <f t="shared" si="21"/>
        <v>0</v>
      </c>
      <c r="P57" s="18">
        <f t="shared" si="5"/>
        <v>0</v>
      </c>
      <c r="Q57" s="18"/>
      <c r="R57" s="18"/>
      <c r="S57" s="18">
        <f t="shared" si="6"/>
        <v>0</v>
      </c>
      <c r="T57" s="18">
        <f t="shared" si="7"/>
        <v>0</v>
      </c>
      <c r="U57" s="18"/>
      <c r="V57" s="18"/>
      <c r="W57" s="18">
        <f t="shared" si="8"/>
        <v>0</v>
      </c>
      <c r="X57" s="18">
        <f t="shared" si="9"/>
        <v>0</v>
      </c>
      <c r="Y57" s="18"/>
      <c r="Z57" s="18"/>
      <c r="AA57" s="18">
        <f t="shared" si="10"/>
        <v>0</v>
      </c>
      <c r="AB57" s="18">
        <f t="shared" si="11"/>
        <v>0</v>
      </c>
      <c r="AC57" s="18"/>
      <c r="AD57" s="18"/>
      <c r="AE57" s="18">
        <f t="shared" si="12"/>
        <v>0</v>
      </c>
      <c r="AF57" s="18">
        <f t="shared" si="13"/>
        <v>0</v>
      </c>
      <c r="AG57" s="18"/>
      <c r="AH57" s="18"/>
      <c r="AI57" s="18">
        <f t="shared" si="14"/>
        <v>0</v>
      </c>
      <c r="AJ57" s="18">
        <f t="shared" si="15"/>
        <v>0</v>
      </c>
      <c r="AK57" s="18"/>
      <c r="AL57" s="18"/>
      <c r="AM57" s="18">
        <f t="shared" si="16"/>
        <v>0</v>
      </c>
      <c r="AN57" s="18">
        <f t="shared" si="17"/>
        <v>0</v>
      </c>
      <c r="AP57">
        <f t="shared" si="18"/>
        <v>0</v>
      </c>
      <c r="AQ57">
        <f t="shared" si="19"/>
        <v>0</v>
      </c>
      <c r="AR57">
        <f t="shared" si="20"/>
        <v>0</v>
      </c>
    </row>
    <row r="58" spans="1:44" x14ac:dyDescent="0.3">
      <c r="A58" s="2" t="s">
        <v>121</v>
      </c>
      <c r="B58" s="2" t="s">
        <v>122</v>
      </c>
      <c r="C58">
        <v>1.1464999999999999E-2</v>
      </c>
      <c r="D58">
        <v>1.2212828458747093E-2</v>
      </c>
      <c r="E58" s="18"/>
      <c r="F58" s="18"/>
      <c r="G58" s="18">
        <f t="shared" si="0"/>
        <v>0</v>
      </c>
      <c r="H58" s="18">
        <f t="shared" si="1"/>
        <v>0</v>
      </c>
      <c r="I58" s="18"/>
      <c r="J58" s="18"/>
      <c r="K58" s="18">
        <f t="shared" si="2"/>
        <v>0</v>
      </c>
      <c r="L58" s="18">
        <f t="shared" si="3"/>
        <v>0</v>
      </c>
      <c r="M58" s="18"/>
      <c r="N58" s="18"/>
      <c r="O58" s="18">
        <f t="shared" si="21"/>
        <v>0</v>
      </c>
      <c r="P58" s="18">
        <f t="shared" si="5"/>
        <v>0</v>
      </c>
      <c r="Q58" s="18"/>
      <c r="R58" s="18"/>
      <c r="S58" s="18">
        <f t="shared" si="6"/>
        <v>0</v>
      </c>
      <c r="T58" s="18">
        <f t="shared" si="7"/>
        <v>0</v>
      </c>
      <c r="U58" s="18"/>
      <c r="V58" s="18"/>
      <c r="W58" s="18">
        <f t="shared" si="8"/>
        <v>0</v>
      </c>
      <c r="X58" s="18">
        <f t="shared" si="9"/>
        <v>0</v>
      </c>
      <c r="Y58" s="18"/>
      <c r="Z58" s="18"/>
      <c r="AA58" s="18">
        <f t="shared" si="10"/>
        <v>0</v>
      </c>
      <c r="AB58" s="18">
        <f t="shared" si="11"/>
        <v>0</v>
      </c>
      <c r="AC58" s="18"/>
      <c r="AD58" s="18"/>
      <c r="AE58" s="18">
        <f t="shared" si="12"/>
        <v>0</v>
      </c>
      <c r="AF58" s="18">
        <f t="shared" si="13"/>
        <v>0</v>
      </c>
      <c r="AG58" s="18"/>
      <c r="AH58" s="18"/>
      <c r="AI58" s="18">
        <f t="shared" si="14"/>
        <v>0</v>
      </c>
      <c r="AJ58" s="18">
        <f t="shared" si="15"/>
        <v>0</v>
      </c>
      <c r="AK58" s="18"/>
      <c r="AL58" s="18"/>
      <c r="AM58" s="18">
        <f t="shared" si="16"/>
        <v>0</v>
      </c>
      <c r="AN58" s="18">
        <f t="shared" si="17"/>
        <v>0</v>
      </c>
      <c r="AP58">
        <f t="shared" si="18"/>
        <v>0</v>
      </c>
      <c r="AQ58">
        <f t="shared" si="19"/>
        <v>0</v>
      </c>
      <c r="AR58">
        <f t="shared" si="20"/>
        <v>0</v>
      </c>
    </row>
    <row r="59" spans="1:44" x14ac:dyDescent="0.3">
      <c r="A59" s="2" t="s">
        <v>123</v>
      </c>
      <c r="B59" s="2" t="s">
        <v>124</v>
      </c>
      <c r="C59">
        <v>2.094E-2</v>
      </c>
      <c r="D59">
        <v>1.8777914710470991E-2</v>
      </c>
      <c r="E59" s="18"/>
      <c r="F59" s="18"/>
      <c r="G59" s="18">
        <f t="shared" si="0"/>
        <v>0</v>
      </c>
      <c r="H59" s="18">
        <f t="shared" si="1"/>
        <v>0</v>
      </c>
      <c r="I59" s="18"/>
      <c r="J59" s="18"/>
      <c r="K59" s="18">
        <f t="shared" si="2"/>
        <v>0</v>
      </c>
      <c r="L59" s="18">
        <f t="shared" si="3"/>
        <v>0</v>
      </c>
      <c r="M59" s="18"/>
      <c r="N59" s="18"/>
      <c r="O59" s="18">
        <f t="shared" si="21"/>
        <v>0</v>
      </c>
      <c r="P59" s="18">
        <f t="shared" si="5"/>
        <v>0</v>
      </c>
      <c r="Q59" s="18"/>
      <c r="R59" s="18"/>
      <c r="S59" s="18">
        <f t="shared" si="6"/>
        <v>0</v>
      </c>
      <c r="T59" s="18">
        <f t="shared" si="7"/>
        <v>0</v>
      </c>
      <c r="U59" s="18"/>
      <c r="V59" s="18"/>
      <c r="W59" s="18">
        <f t="shared" si="8"/>
        <v>0</v>
      </c>
      <c r="X59" s="18">
        <f t="shared" si="9"/>
        <v>0</v>
      </c>
      <c r="Y59" s="18"/>
      <c r="Z59" s="18"/>
      <c r="AA59" s="18">
        <f t="shared" si="10"/>
        <v>0</v>
      </c>
      <c r="AB59" s="18">
        <f t="shared" si="11"/>
        <v>0</v>
      </c>
      <c r="AC59" s="18"/>
      <c r="AD59" s="18"/>
      <c r="AE59" s="18">
        <f t="shared" si="12"/>
        <v>0</v>
      </c>
      <c r="AF59" s="18">
        <f t="shared" si="13"/>
        <v>0</v>
      </c>
      <c r="AG59" s="18"/>
      <c r="AH59" s="18"/>
      <c r="AI59" s="18">
        <f t="shared" si="14"/>
        <v>0</v>
      </c>
      <c r="AJ59" s="18">
        <f t="shared" si="15"/>
        <v>0</v>
      </c>
      <c r="AK59" s="18"/>
      <c r="AL59" s="18"/>
      <c r="AM59" s="18">
        <f t="shared" si="16"/>
        <v>0</v>
      </c>
      <c r="AN59" s="18">
        <f t="shared" si="17"/>
        <v>0</v>
      </c>
      <c r="AP59">
        <f t="shared" si="18"/>
        <v>0</v>
      </c>
      <c r="AQ59">
        <f t="shared" si="19"/>
        <v>0</v>
      </c>
      <c r="AR59">
        <f t="shared" si="20"/>
        <v>0</v>
      </c>
    </row>
    <row r="60" spans="1:44" x14ac:dyDescent="0.3">
      <c r="A60" s="2" t="s">
        <v>125</v>
      </c>
      <c r="B60" s="2" t="s">
        <v>126</v>
      </c>
      <c r="C60">
        <v>7.3270000000000002E-3</v>
      </c>
      <c r="D60">
        <v>7.354352936265191E-3</v>
      </c>
      <c r="E60" s="18"/>
      <c r="F60" s="18"/>
      <c r="G60" s="18">
        <f t="shared" si="0"/>
        <v>0</v>
      </c>
      <c r="H60" s="18">
        <f t="shared" si="1"/>
        <v>0</v>
      </c>
      <c r="I60" s="18"/>
      <c r="J60" s="18"/>
      <c r="K60" s="18">
        <f t="shared" si="2"/>
        <v>0</v>
      </c>
      <c r="L60" s="18">
        <f t="shared" si="3"/>
        <v>0</v>
      </c>
      <c r="M60" s="18"/>
      <c r="N60" s="18"/>
      <c r="O60" s="18">
        <f t="shared" si="21"/>
        <v>0</v>
      </c>
      <c r="P60" s="18">
        <f t="shared" si="5"/>
        <v>0</v>
      </c>
      <c r="Q60" s="18"/>
      <c r="R60" s="18"/>
      <c r="S60" s="18">
        <f t="shared" si="6"/>
        <v>0</v>
      </c>
      <c r="T60" s="18">
        <f t="shared" si="7"/>
        <v>0</v>
      </c>
      <c r="U60" s="18"/>
      <c r="V60" s="18"/>
      <c r="W60" s="18">
        <f t="shared" si="8"/>
        <v>0</v>
      </c>
      <c r="X60" s="18">
        <f t="shared" si="9"/>
        <v>0</v>
      </c>
      <c r="Y60" s="18"/>
      <c r="Z60" s="18"/>
      <c r="AA60" s="18">
        <f t="shared" si="10"/>
        <v>0</v>
      </c>
      <c r="AB60" s="18">
        <f t="shared" si="11"/>
        <v>0</v>
      </c>
      <c r="AC60" s="18"/>
      <c r="AD60" s="18"/>
      <c r="AE60" s="18">
        <f t="shared" si="12"/>
        <v>0</v>
      </c>
      <c r="AF60" s="18">
        <f t="shared" si="13"/>
        <v>0</v>
      </c>
      <c r="AG60" s="18"/>
      <c r="AH60" s="18"/>
      <c r="AI60" s="18">
        <f t="shared" si="14"/>
        <v>0</v>
      </c>
      <c r="AJ60" s="18">
        <f t="shared" si="15"/>
        <v>0</v>
      </c>
      <c r="AK60" s="18"/>
      <c r="AL60" s="18"/>
      <c r="AM60" s="18">
        <f t="shared" si="16"/>
        <v>0</v>
      </c>
      <c r="AN60" s="18">
        <f t="shared" si="17"/>
        <v>0</v>
      </c>
      <c r="AP60">
        <f t="shared" si="18"/>
        <v>0</v>
      </c>
      <c r="AQ60">
        <f t="shared" si="19"/>
        <v>0</v>
      </c>
      <c r="AR60">
        <f t="shared" si="20"/>
        <v>0</v>
      </c>
    </row>
    <row r="61" spans="1:44" x14ac:dyDescent="0.3">
      <c r="A61" s="2" t="s">
        <v>127</v>
      </c>
      <c r="B61" s="2" t="s">
        <v>128</v>
      </c>
      <c r="C61">
        <v>2.2699999999999999E-4</v>
      </c>
      <c r="D61">
        <v>6.1786664378271682E-4</v>
      </c>
      <c r="E61" s="18"/>
      <c r="F61" s="18"/>
      <c r="G61" s="18">
        <f t="shared" si="0"/>
        <v>0</v>
      </c>
      <c r="H61" s="18">
        <f t="shared" si="1"/>
        <v>0</v>
      </c>
      <c r="I61" s="18"/>
      <c r="J61" s="18"/>
      <c r="K61" s="18">
        <f t="shared" si="2"/>
        <v>0</v>
      </c>
      <c r="L61" s="18">
        <f t="shared" si="3"/>
        <v>0</v>
      </c>
      <c r="M61" s="18"/>
      <c r="N61" s="18"/>
      <c r="O61" s="18">
        <f t="shared" si="21"/>
        <v>0</v>
      </c>
      <c r="P61" s="18">
        <f t="shared" si="5"/>
        <v>0</v>
      </c>
      <c r="Q61" s="18"/>
      <c r="R61" s="18"/>
      <c r="S61" s="18">
        <f t="shared" si="6"/>
        <v>0</v>
      </c>
      <c r="T61" s="18">
        <f t="shared" si="7"/>
        <v>0</v>
      </c>
      <c r="U61" s="18"/>
      <c r="V61" s="18"/>
      <c r="W61" s="18">
        <f t="shared" si="8"/>
        <v>0</v>
      </c>
      <c r="X61" s="18">
        <f t="shared" si="9"/>
        <v>0</v>
      </c>
      <c r="Y61" s="18"/>
      <c r="Z61" s="18"/>
      <c r="AA61" s="18">
        <f t="shared" si="10"/>
        <v>0</v>
      </c>
      <c r="AB61" s="18">
        <f t="shared" si="11"/>
        <v>0</v>
      </c>
      <c r="AC61" s="18"/>
      <c r="AD61" s="18"/>
      <c r="AE61" s="18">
        <f t="shared" si="12"/>
        <v>0</v>
      </c>
      <c r="AF61" s="18">
        <f t="shared" si="13"/>
        <v>0</v>
      </c>
      <c r="AG61" s="18"/>
      <c r="AH61" s="18"/>
      <c r="AI61" s="18">
        <f t="shared" si="14"/>
        <v>0</v>
      </c>
      <c r="AJ61" s="18">
        <f t="shared" si="15"/>
        <v>0</v>
      </c>
      <c r="AK61" s="18"/>
      <c r="AL61" s="18"/>
      <c r="AM61" s="18">
        <f t="shared" si="16"/>
        <v>0</v>
      </c>
      <c r="AN61" s="18">
        <f t="shared" si="17"/>
        <v>0</v>
      </c>
      <c r="AP61">
        <f t="shared" si="18"/>
        <v>0</v>
      </c>
      <c r="AQ61">
        <f t="shared" si="19"/>
        <v>0</v>
      </c>
      <c r="AR61">
        <f t="shared" si="20"/>
        <v>0</v>
      </c>
    </row>
    <row r="62" spans="1:44" x14ac:dyDescent="0.3">
      <c r="A62" s="5" t="s">
        <v>129</v>
      </c>
      <c r="B62" s="2" t="s">
        <v>130</v>
      </c>
      <c r="C62">
        <v>3.2079999999999999E-3</v>
      </c>
      <c r="D62">
        <v>2.8056540195356646E-3</v>
      </c>
      <c r="E62" s="18">
        <v>6.4036512455101684E-3</v>
      </c>
      <c r="F62" s="18"/>
      <c r="G62" s="18">
        <f>+E62*$F$3</f>
        <v>3.8421907473061008E-3</v>
      </c>
      <c r="H62" s="18">
        <f t="shared" si="1"/>
        <v>2.2824094492484757</v>
      </c>
      <c r="I62" s="18"/>
      <c r="J62" s="18"/>
      <c r="K62" s="18">
        <f t="shared" si="2"/>
        <v>0</v>
      </c>
      <c r="L62" s="18">
        <f t="shared" si="3"/>
        <v>0</v>
      </c>
      <c r="M62" s="18"/>
      <c r="N62" s="18"/>
      <c r="O62" s="18">
        <f t="shared" si="21"/>
        <v>0</v>
      </c>
      <c r="P62" s="18">
        <f t="shared" si="5"/>
        <v>0</v>
      </c>
      <c r="Q62" s="18"/>
      <c r="R62" s="18"/>
      <c r="S62" s="18">
        <f t="shared" si="6"/>
        <v>0</v>
      </c>
      <c r="T62" s="18">
        <f t="shared" si="7"/>
        <v>0</v>
      </c>
      <c r="U62" s="18"/>
      <c r="V62" s="18"/>
      <c r="W62" s="18">
        <f t="shared" si="8"/>
        <v>0</v>
      </c>
      <c r="X62" s="18">
        <f t="shared" si="9"/>
        <v>0</v>
      </c>
      <c r="Y62" s="18"/>
      <c r="Z62" s="18"/>
      <c r="AA62" s="18">
        <f t="shared" si="10"/>
        <v>0</v>
      </c>
      <c r="AB62" s="18">
        <f t="shared" si="11"/>
        <v>0</v>
      </c>
      <c r="AC62" s="18"/>
      <c r="AD62" s="18"/>
      <c r="AE62" s="18">
        <f t="shared" si="12"/>
        <v>0</v>
      </c>
      <c r="AF62" s="18">
        <f t="shared" si="13"/>
        <v>0</v>
      </c>
      <c r="AG62" s="18"/>
      <c r="AH62" s="18"/>
      <c r="AI62" s="18">
        <f t="shared" si="14"/>
        <v>0</v>
      </c>
      <c r="AJ62" s="18">
        <f t="shared" si="15"/>
        <v>0</v>
      </c>
      <c r="AK62" s="18"/>
      <c r="AL62" s="18"/>
      <c r="AM62" s="18">
        <f t="shared" si="16"/>
        <v>0</v>
      </c>
      <c r="AN62" s="18">
        <f t="shared" si="17"/>
        <v>0</v>
      </c>
      <c r="AP62">
        <f t="shared" si="18"/>
        <v>3.8421907473061008E-3</v>
      </c>
      <c r="AQ62">
        <f t="shared" si="19"/>
        <v>1.9210953736530504E-3</v>
      </c>
      <c r="AR62">
        <f t="shared" si="20"/>
        <v>1.9210953736530504E-3</v>
      </c>
    </row>
    <row r="63" spans="1:44" x14ac:dyDescent="0.3">
      <c r="A63" s="6" t="s">
        <v>131</v>
      </c>
      <c r="B63" s="2" t="s">
        <v>132</v>
      </c>
      <c r="C63">
        <v>1.299E-3</v>
      </c>
      <c r="D63">
        <v>0</v>
      </c>
      <c r="E63" s="18"/>
      <c r="F63" s="18"/>
      <c r="G63" s="18">
        <f>+E63*$F$3</f>
        <v>0</v>
      </c>
      <c r="H63" s="18">
        <v>0</v>
      </c>
      <c r="I63" s="18"/>
      <c r="J63" s="18"/>
      <c r="K63" s="18">
        <f t="shared" si="2"/>
        <v>0</v>
      </c>
      <c r="L63" s="18">
        <v>0</v>
      </c>
      <c r="M63" s="18"/>
      <c r="N63" s="18"/>
      <c r="O63" s="18">
        <f t="shared" si="21"/>
        <v>0</v>
      </c>
      <c r="P63" s="18">
        <v>0</v>
      </c>
      <c r="Q63" s="18"/>
      <c r="R63" s="18"/>
      <c r="S63" s="18">
        <f t="shared" si="6"/>
        <v>0</v>
      </c>
      <c r="T63" s="18">
        <v>0</v>
      </c>
      <c r="U63" s="18"/>
      <c r="V63" s="18"/>
      <c r="W63" s="18">
        <f t="shared" si="8"/>
        <v>0</v>
      </c>
      <c r="X63" s="18">
        <v>0</v>
      </c>
      <c r="Y63" s="18"/>
      <c r="Z63" s="18"/>
      <c r="AA63" s="18">
        <f t="shared" si="10"/>
        <v>0</v>
      </c>
      <c r="AB63" s="18">
        <v>0</v>
      </c>
      <c r="AC63" s="18">
        <v>0</v>
      </c>
      <c r="AD63" s="18"/>
      <c r="AE63" s="18">
        <f t="shared" si="12"/>
        <v>0</v>
      </c>
      <c r="AF63" s="18">
        <v>0</v>
      </c>
      <c r="AG63" s="18"/>
      <c r="AH63" s="18"/>
      <c r="AI63" s="18">
        <f t="shared" si="14"/>
        <v>0</v>
      </c>
      <c r="AJ63" s="18">
        <v>0</v>
      </c>
      <c r="AK63" s="18"/>
      <c r="AL63" s="18"/>
      <c r="AM63" s="18">
        <f t="shared" si="16"/>
        <v>0</v>
      </c>
      <c r="AN63" s="18">
        <v>0</v>
      </c>
      <c r="AP63">
        <f t="shared" si="18"/>
        <v>0</v>
      </c>
      <c r="AQ63">
        <f t="shared" si="19"/>
        <v>0</v>
      </c>
      <c r="AR63">
        <f t="shared" si="20"/>
        <v>0</v>
      </c>
    </row>
    <row r="64" spans="1:44" x14ac:dyDescent="0.3">
      <c r="A64" s="2" t="s">
        <v>133</v>
      </c>
      <c r="B64" s="2" t="s">
        <v>134</v>
      </c>
      <c r="C64">
        <v>3.9810000000000002E-3</v>
      </c>
      <c r="D64">
        <v>4.9978978064103355E-3</v>
      </c>
      <c r="E64" s="18"/>
      <c r="F64" s="18"/>
      <c r="G64" s="18">
        <f t="shared" si="0"/>
        <v>0</v>
      </c>
      <c r="H64" s="18">
        <f t="shared" si="1"/>
        <v>0</v>
      </c>
      <c r="I64" s="18">
        <v>3.4090909090909085E-3</v>
      </c>
      <c r="J64" s="18"/>
      <c r="K64" s="18">
        <f t="shared" si="2"/>
        <v>1.7045454545454542E-3</v>
      </c>
      <c r="L64" s="18">
        <f t="shared" si="3"/>
        <v>0.68210496515522723</v>
      </c>
      <c r="M64" s="18"/>
      <c r="N64" s="18"/>
      <c r="O64" s="18">
        <f t="shared" si="21"/>
        <v>0</v>
      </c>
      <c r="P64" s="18">
        <f t="shared" si="5"/>
        <v>0</v>
      </c>
      <c r="Q64" s="18"/>
      <c r="R64" s="18"/>
      <c r="S64" s="18">
        <f t="shared" si="6"/>
        <v>0</v>
      </c>
      <c r="T64" s="18">
        <f t="shared" si="7"/>
        <v>0</v>
      </c>
      <c r="U64" s="18"/>
      <c r="V64" s="18"/>
      <c r="W64" s="18">
        <f t="shared" si="8"/>
        <v>0</v>
      </c>
      <c r="X64" s="18">
        <f t="shared" si="9"/>
        <v>0</v>
      </c>
      <c r="Y64" s="18"/>
      <c r="Z64" s="18"/>
      <c r="AA64" s="18">
        <f t="shared" si="10"/>
        <v>0</v>
      </c>
      <c r="AB64" s="18">
        <f t="shared" si="11"/>
        <v>0</v>
      </c>
      <c r="AC64" s="18"/>
      <c r="AD64" s="18"/>
      <c r="AE64" s="18">
        <f t="shared" si="12"/>
        <v>0</v>
      </c>
      <c r="AF64" s="18">
        <f t="shared" si="13"/>
        <v>0</v>
      </c>
      <c r="AG64" s="18"/>
      <c r="AH64" s="18"/>
      <c r="AI64" s="18">
        <f t="shared" si="14"/>
        <v>0</v>
      </c>
      <c r="AJ64" s="18">
        <f t="shared" si="15"/>
        <v>0</v>
      </c>
      <c r="AK64" s="18"/>
      <c r="AL64" s="18"/>
      <c r="AM64" s="18">
        <f t="shared" si="16"/>
        <v>0</v>
      </c>
      <c r="AN64" s="18">
        <f t="shared" si="17"/>
        <v>0</v>
      </c>
      <c r="AP64">
        <f t="shared" si="18"/>
        <v>1.7045454545454542E-3</v>
      </c>
      <c r="AQ64">
        <f t="shared" si="19"/>
        <v>8.5227272727272712E-4</v>
      </c>
      <c r="AR64">
        <f t="shared" si="20"/>
        <v>8.5227272727272712E-4</v>
      </c>
    </row>
    <row r="65" spans="1:44" x14ac:dyDescent="0.3">
      <c r="A65" s="2" t="s">
        <v>135</v>
      </c>
      <c r="B65" s="2" t="s">
        <v>136</v>
      </c>
      <c r="C65">
        <v>1.4264000000000001E-2</v>
      </c>
      <c r="D65">
        <v>1.5835258090703578E-2</v>
      </c>
      <c r="E65" s="18"/>
      <c r="F65" s="18"/>
      <c r="G65" s="18">
        <f t="shared" si="0"/>
        <v>0</v>
      </c>
      <c r="H65" s="18">
        <f t="shared" si="1"/>
        <v>0</v>
      </c>
      <c r="I65" s="18"/>
      <c r="J65" s="18"/>
      <c r="K65" s="18">
        <f t="shared" si="2"/>
        <v>0</v>
      </c>
      <c r="L65" s="18">
        <f t="shared" si="3"/>
        <v>0</v>
      </c>
      <c r="M65" s="18"/>
      <c r="N65" s="18"/>
      <c r="O65" s="18">
        <f t="shared" si="21"/>
        <v>0</v>
      </c>
      <c r="P65" s="18">
        <f t="shared" si="5"/>
        <v>0</v>
      </c>
      <c r="Q65" s="18"/>
      <c r="R65" s="18"/>
      <c r="S65" s="18">
        <f t="shared" si="6"/>
        <v>0</v>
      </c>
      <c r="T65" s="18">
        <f t="shared" si="7"/>
        <v>0</v>
      </c>
      <c r="U65" s="18"/>
      <c r="V65" s="18"/>
      <c r="W65" s="18">
        <f t="shared" si="8"/>
        <v>0</v>
      </c>
      <c r="X65" s="18">
        <f t="shared" si="9"/>
        <v>0</v>
      </c>
      <c r="Y65" s="18"/>
      <c r="Z65" s="18"/>
      <c r="AA65" s="18">
        <f t="shared" si="10"/>
        <v>0</v>
      </c>
      <c r="AB65" s="18">
        <f t="shared" si="11"/>
        <v>0</v>
      </c>
      <c r="AC65" s="18"/>
      <c r="AD65" s="18"/>
      <c r="AE65" s="18">
        <f t="shared" si="12"/>
        <v>0</v>
      </c>
      <c r="AF65" s="18">
        <f t="shared" si="13"/>
        <v>0</v>
      </c>
      <c r="AG65" s="18"/>
      <c r="AH65" s="18"/>
      <c r="AI65" s="18">
        <f t="shared" si="14"/>
        <v>0</v>
      </c>
      <c r="AJ65" s="18">
        <f t="shared" si="15"/>
        <v>0</v>
      </c>
      <c r="AK65" s="18"/>
      <c r="AL65" s="18"/>
      <c r="AM65" s="18">
        <f t="shared" si="16"/>
        <v>0</v>
      </c>
      <c r="AN65" s="18">
        <f t="shared" si="17"/>
        <v>0</v>
      </c>
      <c r="AP65">
        <f t="shared" si="18"/>
        <v>0</v>
      </c>
      <c r="AQ65">
        <f t="shared" si="19"/>
        <v>0</v>
      </c>
      <c r="AR65">
        <f t="shared" si="20"/>
        <v>0</v>
      </c>
    </row>
    <row r="66" spans="1:44" x14ac:dyDescent="0.3">
      <c r="A66" s="2" t="s">
        <v>137</v>
      </c>
      <c r="B66" s="2" t="s">
        <v>138</v>
      </c>
      <c r="C66">
        <v>7.3300000000000004E-4</v>
      </c>
      <c r="D66">
        <v>4.3186618083275842E-3</v>
      </c>
      <c r="E66" s="18"/>
      <c r="F66" s="18"/>
      <c r="G66" s="18">
        <f t="shared" si="0"/>
        <v>0</v>
      </c>
      <c r="H66" s="18">
        <f t="shared" si="1"/>
        <v>0</v>
      </c>
      <c r="I66" s="18"/>
      <c r="J66" s="18"/>
      <c r="K66" s="18">
        <f t="shared" si="2"/>
        <v>0</v>
      </c>
      <c r="L66" s="18">
        <f t="shared" si="3"/>
        <v>0</v>
      </c>
      <c r="M66" s="18"/>
      <c r="N66" s="18"/>
      <c r="O66" s="18">
        <f t="shared" si="21"/>
        <v>0</v>
      </c>
      <c r="P66" s="18">
        <f t="shared" si="5"/>
        <v>0</v>
      </c>
      <c r="Q66" s="18"/>
      <c r="R66" s="18"/>
      <c r="S66" s="18">
        <f t="shared" si="6"/>
        <v>0</v>
      </c>
      <c r="T66" s="18">
        <f t="shared" si="7"/>
        <v>0</v>
      </c>
      <c r="U66" s="18"/>
      <c r="V66" s="18"/>
      <c r="W66" s="18">
        <f t="shared" si="8"/>
        <v>0</v>
      </c>
      <c r="X66" s="18">
        <f t="shared" si="9"/>
        <v>0</v>
      </c>
      <c r="Y66" s="18"/>
      <c r="Z66" s="18"/>
      <c r="AA66" s="18">
        <f t="shared" si="10"/>
        <v>0</v>
      </c>
      <c r="AB66" s="18">
        <f t="shared" si="11"/>
        <v>0</v>
      </c>
      <c r="AC66" s="18"/>
      <c r="AD66" s="18"/>
      <c r="AE66" s="18">
        <f t="shared" si="12"/>
        <v>0</v>
      </c>
      <c r="AF66" s="18">
        <f t="shared" si="13"/>
        <v>0</v>
      </c>
      <c r="AG66" s="18"/>
      <c r="AH66" s="18"/>
      <c r="AI66" s="18">
        <f t="shared" si="14"/>
        <v>0</v>
      </c>
      <c r="AJ66" s="18">
        <f t="shared" si="15"/>
        <v>0</v>
      </c>
      <c r="AK66" s="18"/>
      <c r="AL66" s="18"/>
      <c r="AM66" s="18">
        <f t="shared" si="16"/>
        <v>0</v>
      </c>
      <c r="AN66" s="18">
        <f t="shared" si="17"/>
        <v>0</v>
      </c>
      <c r="AP66">
        <f t="shared" si="18"/>
        <v>0</v>
      </c>
      <c r="AQ66">
        <f t="shared" si="19"/>
        <v>0</v>
      </c>
      <c r="AR66">
        <f t="shared" si="20"/>
        <v>0</v>
      </c>
    </row>
    <row r="67" spans="1:44" x14ac:dyDescent="0.3">
      <c r="A67" s="2" t="s">
        <v>139</v>
      </c>
      <c r="B67" s="2" t="s">
        <v>140</v>
      </c>
      <c r="C67">
        <v>1.7942E-2</v>
      </c>
      <c r="D67">
        <v>9.321077501429036E-3</v>
      </c>
      <c r="E67" s="18"/>
      <c r="F67" s="18"/>
      <c r="G67" s="18">
        <f t="shared" si="0"/>
        <v>0</v>
      </c>
      <c r="H67" s="18">
        <f t="shared" si="1"/>
        <v>0</v>
      </c>
      <c r="I67" s="18"/>
      <c r="J67" s="18"/>
      <c r="K67" s="18">
        <f t="shared" si="2"/>
        <v>0</v>
      </c>
      <c r="L67" s="18">
        <f t="shared" si="3"/>
        <v>0</v>
      </c>
      <c r="M67" s="18">
        <v>5.5291095369090814E-4</v>
      </c>
      <c r="N67" s="18"/>
      <c r="O67" s="18">
        <f t="shared" si="21"/>
        <v>1.3822773842272703E-4</v>
      </c>
      <c r="P67" s="18">
        <f t="shared" si="5"/>
        <v>5.9318351725553199E-2</v>
      </c>
      <c r="Q67" s="18"/>
      <c r="R67" s="18"/>
      <c r="S67" s="18">
        <f t="shared" si="6"/>
        <v>0</v>
      </c>
      <c r="T67" s="18">
        <f t="shared" si="7"/>
        <v>0</v>
      </c>
      <c r="U67" s="18"/>
      <c r="V67" s="18"/>
      <c r="W67" s="18">
        <f t="shared" si="8"/>
        <v>0</v>
      </c>
      <c r="X67" s="18">
        <f t="shared" si="9"/>
        <v>0</v>
      </c>
      <c r="Y67" s="18"/>
      <c r="Z67" s="18"/>
      <c r="AA67" s="18">
        <f t="shared" si="10"/>
        <v>0</v>
      </c>
      <c r="AB67" s="18">
        <f t="shared" si="11"/>
        <v>0</v>
      </c>
      <c r="AC67" s="18"/>
      <c r="AD67" s="18"/>
      <c r="AE67" s="18">
        <f t="shared" si="12"/>
        <v>0</v>
      </c>
      <c r="AF67" s="18">
        <f t="shared" si="13"/>
        <v>0</v>
      </c>
      <c r="AG67" s="18"/>
      <c r="AH67" s="18"/>
      <c r="AI67" s="18">
        <f t="shared" si="14"/>
        <v>0</v>
      </c>
      <c r="AJ67" s="18">
        <f t="shared" si="15"/>
        <v>0</v>
      </c>
      <c r="AK67" s="18"/>
      <c r="AL67" s="18"/>
      <c r="AM67" s="18">
        <f t="shared" si="16"/>
        <v>0</v>
      </c>
      <c r="AN67" s="18">
        <f t="shared" si="17"/>
        <v>0</v>
      </c>
      <c r="AP67">
        <f t="shared" si="18"/>
        <v>0</v>
      </c>
      <c r="AQ67">
        <f t="shared" si="19"/>
        <v>0</v>
      </c>
      <c r="AR67">
        <f t="shared" si="20"/>
        <v>0</v>
      </c>
    </row>
    <row r="68" spans="1:44" x14ac:dyDescent="0.3">
      <c r="A68" s="2" t="s">
        <v>141</v>
      </c>
      <c r="B68" s="2" t="s">
        <v>142</v>
      </c>
      <c r="C68">
        <v>2.9919999999999999E-3</v>
      </c>
      <c r="D68">
        <v>2.9917868533449431E-3</v>
      </c>
      <c r="E68" s="18"/>
      <c r="F68" s="18"/>
      <c r="G68" s="18">
        <f t="shared" ref="G68:G132" si="22">+E68*$F$3</f>
        <v>0</v>
      </c>
      <c r="H68" s="18">
        <f t="shared" ref="H68:H132" si="23">+E68/D68</f>
        <v>0</v>
      </c>
      <c r="I68" s="18"/>
      <c r="J68" s="18"/>
      <c r="K68" s="18">
        <f t="shared" ref="K68:K132" si="24">I68*$J$3</f>
        <v>0</v>
      </c>
      <c r="L68" s="18">
        <f t="shared" ref="L68:L132" si="25">+I68/D68</f>
        <v>0</v>
      </c>
      <c r="M68" s="18"/>
      <c r="N68" s="18"/>
      <c r="O68" s="18">
        <f t="shared" ref="O68:O132" si="26">+M68*$N$3</f>
        <v>0</v>
      </c>
      <c r="P68" s="18">
        <f t="shared" ref="P68:P132" si="27">+M68/D68</f>
        <v>0</v>
      </c>
      <c r="Q68" s="18"/>
      <c r="R68" s="18"/>
      <c r="S68" s="18">
        <f t="shared" ref="S68:S132" si="28">+Q68*$R$3</f>
        <v>0</v>
      </c>
      <c r="T68" s="18">
        <f t="shared" ref="T68:T132" si="29">+Q68/D68</f>
        <v>0</v>
      </c>
      <c r="U68" s="18"/>
      <c r="V68" s="18"/>
      <c r="W68" s="18">
        <f t="shared" ref="W68:W132" si="30">+U68*$V$3</f>
        <v>0</v>
      </c>
      <c r="X68" s="18">
        <f t="shared" ref="X68:X132" si="31">+U68/D68</f>
        <v>0</v>
      </c>
      <c r="Y68" s="18"/>
      <c r="Z68" s="18"/>
      <c r="AA68" s="18">
        <f t="shared" ref="AA68:AA132" si="32">+Y68*$Z$3</f>
        <v>0</v>
      </c>
      <c r="AB68" s="18">
        <f t="shared" ref="AB68:AB132" si="33">+Y68/D68</f>
        <v>0</v>
      </c>
      <c r="AC68" s="18"/>
      <c r="AD68" s="18"/>
      <c r="AE68" s="18">
        <f t="shared" ref="AE68:AE132" si="34">+AC68*$AD$3</f>
        <v>0</v>
      </c>
      <c r="AF68" s="18">
        <f t="shared" ref="AF68:AF132" si="35">+AC68/D68</f>
        <v>0</v>
      </c>
      <c r="AG68" s="18"/>
      <c r="AH68" s="18"/>
      <c r="AI68" s="18">
        <f t="shared" ref="AI68:AI131" si="36">+AG68*$AH$3</f>
        <v>0</v>
      </c>
      <c r="AJ68" s="18">
        <f t="shared" ref="AJ68:AJ131" si="37">+AG68/D68</f>
        <v>0</v>
      </c>
      <c r="AK68" s="18"/>
      <c r="AL68" s="18"/>
      <c r="AM68" s="18">
        <f t="shared" ref="AM68:AM131" si="38">+AK68*$AL$3</f>
        <v>0</v>
      </c>
      <c r="AN68" s="18">
        <f t="shared" ref="AN68:AN131" si="39">+AK68/D68</f>
        <v>0</v>
      </c>
      <c r="AP68">
        <f t="shared" ref="AP68:AP132" si="40">SUM(G68,K68)</f>
        <v>0</v>
      </c>
      <c r="AQ68">
        <f t="shared" ref="AQ68:AQ132" si="41">AVERAGE(G68,K68)</f>
        <v>0</v>
      </c>
      <c r="AR68">
        <f t="shared" ref="AR68:AR132" si="42">MEDIAN(G68,K68)</f>
        <v>0</v>
      </c>
    </row>
    <row r="69" spans="1:44" x14ac:dyDescent="0.3">
      <c r="A69" s="2" t="s">
        <v>143</v>
      </c>
      <c r="B69" s="2" t="s">
        <v>144</v>
      </c>
      <c r="C69">
        <v>1.2899999999999999E-3</v>
      </c>
      <c r="D69">
        <v>1.2899245349946651E-3</v>
      </c>
      <c r="E69" s="18"/>
      <c r="F69" s="18"/>
      <c r="G69" s="18">
        <f t="shared" si="22"/>
        <v>0</v>
      </c>
      <c r="H69" s="18">
        <f t="shared" si="23"/>
        <v>0</v>
      </c>
      <c r="I69" s="18"/>
      <c r="J69" s="18"/>
      <c r="K69" s="18">
        <f t="shared" si="24"/>
        <v>0</v>
      </c>
      <c r="L69" s="18">
        <f t="shared" si="25"/>
        <v>0</v>
      </c>
      <c r="M69" s="18"/>
      <c r="N69" s="18"/>
      <c r="O69" s="18">
        <f t="shared" si="26"/>
        <v>0</v>
      </c>
      <c r="P69" s="18">
        <f t="shared" si="27"/>
        <v>0</v>
      </c>
      <c r="Q69" s="18"/>
      <c r="R69" s="18"/>
      <c r="S69" s="18">
        <f t="shared" si="28"/>
        <v>0</v>
      </c>
      <c r="T69" s="18">
        <f t="shared" si="29"/>
        <v>0</v>
      </c>
      <c r="U69" s="18"/>
      <c r="V69" s="18"/>
      <c r="W69" s="18">
        <f t="shared" si="30"/>
        <v>0</v>
      </c>
      <c r="X69" s="18">
        <f t="shared" si="31"/>
        <v>0</v>
      </c>
      <c r="Y69" s="18"/>
      <c r="Z69" s="18"/>
      <c r="AA69" s="18">
        <f t="shared" si="32"/>
        <v>0</v>
      </c>
      <c r="AB69" s="18">
        <f t="shared" si="33"/>
        <v>0</v>
      </c>
      <c r="AC69" s="18"/>
      <c r="AD69" s="18"/>
      <c r="AE69" s="18">
        <f t="shared" si="34"/>
        <v>0</v>
      </c>
      <c r="AF69" s="18">
        <f t="shared" si="35"/>
        <v>0</v>
      </c>
      <c r="AG69" s="18"/>
      <c r="AH69" s="18"/>
      <c r="AI69" s="18">
        <f t="shared" si="36"/>
        <v>0</v>
      </c>
      <c r="AJ69" s="18">
        <f t="shared" si="37"/>
        <v>0</v>
      </c>
      <c r="AK69" s="18"/>
      <c r="AL69" s="18"/>
      <c r="AM69" s="18">
        <f t="shared" si="38"/>
        <v>0</v>
      </c>
      <c r="AN69" s="18">
        <f t="shared" si="39"/>
        <v>0</v>
      </c>
      <c r="AP69">
        <f t="shared" si="40"/>
        <v>0</v>
      </c>
      <c r="AQ69">
        <f t="shared" si="41"/>
        <v>0</v>
      </c>
      <c r="AR69">
        <f t="shared" si="42"/>
        <v>0</v>
      </c>
    </row>
    <row r="70" spans="1:44" x14ac:dyDescent="0.3">
      <c r="A70" s="2" t="s">
        <v>145</v>
      </c>
      <c r="B70" s="2" t="s">
        <v>146</v>
      </c>
      <c r="C70">
        <v>2.1559999999999999E-3</v>
      </c>
      <c r="D70">
        <v>2.1562081919545171E-3</v>
      </c>
      <c r="E70" s="18"/>
      <c r="F70" s="18"/>
      <c r="G70" s="18">
        <f t="shared" si="22"/>
        <v>0</v>
      </c>
      <c r="H70" s="18">
        <f t="shared" si="23"/>
        <v>0</v>
      </c>
      <c r="I70" s="18"/>
      <c r="J70" s="18"/>
      <c r="K70" s="18">
        <f t="shared" si="24"/>
        <v>0</v>
      </c>
      <c r="L70" s="18">
        <f t="shared" si="25"/>
        <v>0</v>
      </c>
      <c r="M70" s="18"/>
      <c r="N70" s="18"/>
      <c r="O70" s="18">
        <f t="shared" si="26"/>
        <v>0</v>
      </c>
      <c r="P70" s="18">
        <f t="shared" si="27"/>
        <v>0</v>
      </c>
      <c r="Q70" s="18"/>
      <c r="R70" s="18"/>
      <c r="S70" s="18">
        <f t="shared" si="28"/>
        <v>0</v>
      </c>
      <c r="T70" s="18">
        <f t="shared" si="29"/>
        <v>0</v>
      </c>
      <c r="U70" s="18"/>
      <c r="V70" s="18"/>
      <c r="W70" s="18">
        <f t="shared" si="30"/>
        <v>0</v>
      </c>
      <c r="X70" s="18">
        <f t="shared" si="31"/>
        <v>0</v>
      </c>
      <c r="Y70" s="18"/>
      <c r="Z70" s="18"/>
      <c r="AA70" s="18">
        <f t="shared" si="32"/>
        <v>0</v>
      </c>
      <c r="AB70" s="18">
        <f t="shared" si="33"/>
        <v>0</v>
      </c>
      <c r="AC70" s="18"/>
      <c r="AD70" s="18"/>
      <c r="AE70" s="18">
        <f t="shared" si="34"/>
        <v>0</v>
      </c>
      <c r="AF70" s="18">
        <f t="shared" si="35"/>
        <v>0</v>
      </c>
      <c r="AG70" s="18"/>
      <c r="AH70" s="18"/>
      <c r="AI70" s="18">
        <f t="shared" si="36"/>
        <v>0</v>
      </c>
      <c r="AJ70" s="18">
        <f t="shared" si="37"/>
        <v>0</v>
      </c>
      <c r="AK70" s="18"/>
      <c r="AL70" s="18"/>
      <c r="AM70" s="18">
        <f t="shared" si="38"/>
        <v>0</v>
      </c>
      <c r="AN70" s="18">
        <f t="shared" si="39"/>
        <v>0</v>
      </c>
      <c r="AP70">
        <f t="shared" si="40"/>
        <v>0</v>
      </c>
      <c r="AQ70">
        <f t="shared" si="41"/>
        <v>0</v>
      </c>
      <c r="AR70">
        <f t="shared" si="42"/>
        <v>0</v>
      </c>
    </row>
    <row r="71" spans="1:44" x14ac:dyDescent="0.3">
      <c r="A71" s="2" t="s">
        <v>147</v>
      </c>
      <c r="B71" s="2" t="s">
        <v>148</v>
      </c>
      <c r="C71">
        <v>5.8190000000000004E-3</v>
      </c>
      <c r="D71">
        <v>7.2594081996102513E-3</v>
      </c>
      <c r="E71" s="18"/>
      <c r="F71" s="18"/>
      <c r="G71" s="18">
        <f t="shared" si="22"/>
        <v>0</v>
      </c>
      <c r="H71" s="18">
        <f t="shared" si="23"/>
        <v>0</v>
      </c>
      <c r="I71" s="18"/>
      <c r="J71" s="18"/>
      <c r="K71" s="18">
        <f t="shared" si="24"/>
        <v>0</v>
      </c>
      <c r="L71" s="18">
        <f t="shared" si="25"/>
        <v>0</v>
      </c>
      <c r="M71" s="18"/>
      <c r="N71" s="18"/>
      <c r="O71" s="18">
        <f t="shared" si="26"/>
        <v>0</v>
      </c>
      <c r="P71" s="18">
        <f t="shared" si="27"/>
        <v>0</v>
      </c>
      <c r="Q71" s="18"/>
      <c r="R71" s="18"/>
      <c r="S71" s="18">
        <f t="shared" si="28"/>
        <v>0</v>
      </c>
      <c r="T71" s="18">
        <f t="shared" si="29"/>
        <v>0</v>
      </c>
      <c r="U71" s="18"/>
      <c r="V71" s="18"/>
      <c r="W71" s="18">
        <f t="shared" si="30"/>
        <v>0</v>
      </c>
      <c r="X71" s="18">
        <f t="shared" si="31"/>
        <v>0</v>
      </c>
      <c r="Y71" s="18"/>
      <c r="Z71" s="18"/>
      <c r="AA71" s="18">
        <f t="shared" si="32"/>
        <v>0</v>
      </c>
      <c r="AB71" s="18">
        <f t="shared" si="33"/>
        <v>0</v>
      </c>
      <c r="AC71" s="18"/>
      <c r="AD71" s="18"/>
      <c r="AE71" s="18">
        <f t="shared" si="34"/>
        <v>0</v>
      </c>
      <c r="AF71" s="18">
        <f t="shared" si="35"/>
        <v>0</v>
      </c>
      <c r="AG71" s="18">
        <v>7.6403273455804945E-3</v>
      </c>
      <c r="AH71" s="18"/>
      <c r="AI71" s="18">
        <f t="shared" si="36"/>
        <v>6.1122618764643958E-3</v>
      </c>
      <c r="AJ71" s="18">
        <f t="shared" si="37"/>
        <v>1.0524724792291875</v>
      </c>
      <c r="AK71" s="18"/>
      <c r="AL71" s="18"/>
      <c r="AM71" s="18">
        <f t="shared" si="38"/>
        <v>0</v>
      </c>
      <c r="AN71" s="18">
        <f t="shared" si="39"/>
        <v>0</v>
      </c>
      <c r="AP71">
        <f t="shared" si="40"/>
        <v>0</v>
      </c>
      <c r="AQ71">
        <f t="shared" si="41"/>
        <v>0</v>
      </c>
      <c r="AR71">
        <f t="shared" si="42"/>
        <v>0</v>
      </c>
    </row>
    <row r="72" spans="1:44" x14ac:dyDescent="0.3">
      <c r="A72" s="2" t="s">
        <v>149</v>
      </c>
      <c r="B72" s="2" t="s">
        <v>150</v>
      </c>
      <c r="C72">
        <v>2.6400000000000002E-4</v>
      </c>
      <c r="D72">
        <v>6.6165413533834591E-4</v>
      </c>
      <c r="E72" s="18"/>
      <c r="F72" s="18"/>
      <c r="G72" s="18">
        <f t="shared" si="22"/>
        <v>0</v>
      </c>
      <c r="H72" s="18">
        <f t="shared" si="23"/>
        <v>0</v>
      </c>
      <c r="I72" s="18"/>
      <c r="J72" s="18"/>
      <c r="K72" s="18">
        <f t="shared" si="24"/>
        <v>0</v>
      </c>
      <c r="L72" s="18">
        <f t="shared" si="25"/>
        <v>0</v>
      </c>
      <c r="M72" s="18"/>
      <c r="N72" s="18"/>
      <c r="O72" s="18">
        <f t="shared" si="26"/>
        <v>0</v>
      </c>
      <c r="P72" s="18">
        <f t="shared" si="27"/>
        <v>0</v>
      </c>
      <c r="Q72" s="18"/>
      <c r="R72" s="18"/>
      <c r="S72" s="18">
        <f t="shared" si="28"/>
        <v>0</v>
      </c>
      <c r="T72" s="18">
        <f t="shared" si="29"/>
        <v>0</v>
      </c>
      <c r="U72" s="18"/>
      <c r="V72" s="18"/>
      <c r="W72" s="18">
        <f t="shared" si="30"/>
        <v>0</v>
      </c>
      <c r="X72" s="18">
        <f t="shared" si="31"/>
        <v>0</v>
      </c>
      <c r="Y72" s="18"/>
      <c r="Z72" s="18"/>
      <c r="AA72" s="18">
        <f t="shared" si="32"/>
        <v>0</v>
      </c>
      <c r="AB72" s="18">
        <f t="shared" si="33"/>
        <v>0</v>
      </c>
      <c r="AC72" s="18"/>
      <c r="AD72" s="18"/>
      <c r="AE72" s="18">
        <f t="shared" si="34"/>
        <v>0</v>
      </c>
      <c r="AF72" s="18">
        <f t="shared" si="35"/>
        <v>0</v>
      </c>
      <c r="AG72" s="18"/>
      <c r="AH72" s="18"/>
      <c r="AI72" s="18">
        <f t="shared" si="36"/>
        <v>0</v>
      </c>
      <c r="AJ72" s="18">
        <f t="shared" si="37"/>
        <v>0</v>
      </c>
      <c r="AK72" s="18"/>
      <c r="AL72" s="18"/>
      <c r="AM72" s="18">
        <f t="shared" si="38"/>
        <v>0</v>
      </c>
      <c r="AN72" s="18">
        <f t="shared" si="39"/>
        <v>0</v>
      </c>
      <c r="AP72">
        <f t="shared" si="40"/>
        <v>0</v>
      </c>
      <c r="AQ72">
        <f t="shared" si="41"/>
        <v>0</v>
      </c>
      <c r="AR72">
        <f t="shared" si="42"/>
        <v>0</v>
      </c>
    </row>
    <row r="73" spans="1:44" x14ac:dyDescent="0.3">
      <c r="A73" s="2" t="s">
        <v>151</v>
      </c>
      <c r="B73" s="2" t="s">
        <v>152</v>
      </c>
      <c r="C73">
        <v>8.9899999999999995E-4</v>
      </c>
      <c r="D73">
        <v>1.8012917666926486E-3</v>
      </c>
      <c r="E73" s="18"/>
      <c r="F73" s="18"/>
      <c r="G73" s="18">
        <f t="shared" si="22"/>
        <v>0</v>
      </c>
      <c r="H73" s="18">
        <f t="shared" si="23"/>
        <v>0</v>
      </c>
      <c r="I73" s="18"/>
      <c r="J73" s="18"/>
      <c r="K73" s="18">
        <f t="shared" si="24"/>
        <v>0</v>
      </c>
      <c r="L73" s="18">
        <f t="shared" si="25"/>
        <v>0</v>
      </c>
      <c r="M73" s="18"/>
      <c r="N73" s="18"/>
      <c r="O73" s="18">
        <f t="shared" si="26"/>
        <v>0</v>
      </c>
      <c r="P73" s="18">
        <f t="shared" si="27"/>
        <v>0</v>
      </c>
      <c r="Q73" s="18"/>
      <c r="R73" s="18"/>
      <c r="S73" s="18">
        <f t="shared" si="28"/>
        <v>0</v>
      </c>
      <c r="T73" s="18">
        <f t="shared" si="29"/>
        <v>0</v>
      </c>
      <c r="U73" s="18"/>
      <c r="V73" s="18"/>
      <c r="W73" s="18">
        <f t="shared" si="30"/>
        <v>0</v>
      </c>
      <c r="X73" s="18">
        <f t="shared" si="31"/>
        <v>0</v>
      </c>
      <c r="Y73" s="18"/>
      <c r="Z73" s="18"/>
      <c r="AA73" s="18">
        <f t="shared" si="32"/>
        <v>0</v>
      </c>
      <c r="AB73" s="18">
        <f t="shared" si="33"/>
        <v>0</v>
      </c>
      <c r="AC73" s="18"/>
      <c r="AD73" s="18"/>
      <c r="AE73" s="18">
        <f t="shared" si="34"/>
        <v>0</v>
      </c>
      <c r="AF73" s="18">
        <f t="shared" si="35"/>
        <v>0</v>
      </c>
      <c r="AG73" s="18"/>
      <c r="AH73" s="18"/>
      <c r="AI73" s="18">
        <f t="shared" si="36"/>
        <v>0</v>
      </c>
      <c r="AJ73" s="18">
        <f t="shared" si="37"/>
        <v>0</v>
      </c>
      <c r="AK73" s="18"/>
      <c r="AL73" s="18"/>
      <c r="AM73" s="18">
        <f t="shared" si="38"/>
        <v>0</v>
      </c>
      <c r="AN73" s="18">
        <f t="shared" si="39"/>
        <v>0</v>
      </c>
      <c r="AP73">
        <f t="shared" si="40"/>
        <v>0</v>
      </c>
      <c r="AQ73">
        <f t="shared" si="41"/>
        <v>0</v>
      </c>
      <c r="AR73">
        <f t="shared" si="42"/>
        <v>0</v>
      </c>
    </row>
    <row r="74" spans="1:44" x14ac:dyDescent="0.3">
      <c r="A74" s="2" t="s">
        <v>153</v>
      </c>
      <c r="B74" s="2" t="s">
        <v>154</v>
      </c>
      <c r="C74">
        <v>1.7146999999999999E-2</v>
      </c>
      <c r="D74">
        <v>1.7157169242043198E-2</v>
      </c>
      <c r="E74" s="18"/>
      <c r="F74" s="18"/>
      <c r="G74" s="18">
        <f t="shared" si="22"/>
        <v>0</v>
      </c>
      <c r="H74" s="18">
        <f t="shared" si="23"/>
        <v>0</v>
      </c>
      <c r="I74" s="18"/>
      <c r="J74" s="18"/>
      <c r="K74" s="18">
        <f t="shared" si="24"/>
        <v>0</v>
      </c>
      <c r="L74" s="18">
        <f t="shared" si="25"/>
        <v>0</v>
      </c>
      <c r="M74" s="18"/>
      <c r="N74" s="18"/>
      <c r="O74" s="18">
        <f t="shared" si="26"/>
        <v>0</v>
      </c>
      <c r="P74" s="18">
        <f t="shared" si="27"/>
        <v>0</v>
      </c>
      <c r="Q74" s="18"/>
      <c r="R74" s="18"/>
      <c r="S74" s="18">
        <f t="shared" si="28"/>
        <v>0</v>
      </c>
      <c r="T74" s="18">
        <f t="shared" si="29"/>
        <v>0</v>
      </c>
      <c r="U74" s="18"/>
      <c r="V74" s="18"/>
      <c r="W74" s="18">
        <f t="shared" si="30"/>
        <v>0</v>
      </c>
      <c r="X74" s="18">
        <f t="shared" si="31"/>
        <v>0</v>
      </c>
      <c r="Y74" s="18"/>
      <c r="Z74" s="18"/>
      <c r="AA74" s="18">
        <f t="shared" si="32"/>
        <v>0</v>
      </c>
      <c r="AB74" s="18">
        <f t="shared" si="33"/>
        <v>0</v>
      </c>
      <c r="AC74" s="18"/>
      <c r="AD74" s="18"/>
      <c r="AE74" s="18">
        <f t="shared" si="34"/>
        <v>0</v>
      </c>
      <c r="AF74" s="18">
        <f t="shared" si="35"/>
        <v>0</v>
      </c>
      <c r="AG74" s="18"/>
      <c r="AH74" s="18"/>
      <c r="AI74" s="18">
        <f t="shared" si="36"/>
        <v>0</v>
      </c>
      <c r="AJ74" s="18">
        <f t="shared" si="37"/>
        <v>0</v>
      </c>
      <c r="AK74" s="18"/>
      <c r="AL74" s="18"/>
      <c r="AM74" s="18">
        <f t="shared" si="38"/>
        <v>0</v>
      </c>
      <c r="AN74" s="18">
        <f t="shared" si="39"/>
        <v>0</v>
      </c>
      <c r="AP74">
        <f t="shared" si="40"/>
        <v>0</v>
      </c>
      <c r="AQ74">
        <f t="shared" si="41"/>
        <v>0</v>
      </c>
      <c r="AR74">
        <f t="shared" si="42"/>
        <v>0</v>
      </c>
    </row>
    <row r="75" spans="1:44" x14ac:dyDescent="0.3">
      <c r="A75" s="2" t="s">
        <v>155</v>
      </c>
      <c r="B75" s="2" t="s">
        <v>156</v>
      </c>
      <c r="C75">
        <v>1.8079999999999999E-3</v>
      </c>
      <c r="D75">
        <v>2.4029247877844825E-3</v>
      </c>
      <c r="E75" s="18"/>
      <c r="F75" s="18"/>
      <c r="G75" s="18">
        <f t="shared" si="22"/>
        <v>0</v>
      </c>
      <c r="H75" s="18">
        <f t="shared" si="23"/>
        <v>0</v>
      </c>
      <c r="I75" s="18"/>
      <c r="J75" s="18"/>
      <c r="K75" s="18">
        <f t="shared" si="24"/>
        <v>0</v>
      </c>
      <c r="L75" s="18">
        <f t="shared" si="25"/>
        <v>0</v>
      </c>
      <c r="M75" s="18">
        <v>4.9901963288812344E-3</v>
      </c>
      <c r="N75" s="18"/>
      <c r="O75" s="18">
        <f t="shared" si="26"/>
        <v>1.2475490822203086E-3</v>
      </c>
      <c r="P75" s="18">
        <f t="shared" si="27"/>
        <v>2.0767176543558148</v>
      </c>
      <c r="Q75" s="18"/>
      <c r="R75" s="18"/>
      <c r="S75" s="18">
        <f t="shared" si="28"/>
        <v>0</v>
      </c>
      <c r="T75" s="18">
        <f t="shared" si="29"/>
        <v>0</v>
      </c>
      <c r="U75" s="18"/>
      <c r="V75" s="18"/>
      <c r="W75" s="18">
        <f t="shared" si="30"/>
        <v>0</v>
      </c>
      <c r="X75" s="18">
        <f t="shared" si="31"/>
        <v>0</v>
      </c>
      <c r="Y75" s="18"/>
      <c r="Z75" s="18"/>
      <c r="AA75" s="18">
        <f t="shared" si="32"/>
        <v>0</v>
      </c>
      <c r="AB75" s="18">
        <f t="shared" si="33"/>
        <v>0</v>
      </c>
      <c r="AC75" s="18"/>
      <c r="AD75" s="18"/>
      <c r="AE75" s="18">
        <f t="shared" si="34"/>
        <v>0</v>
      </c>
      <c r="AF75" s="18">
        <f t="shared" si="35"/>
        <v>0</v>
      </c>
      <c r="AG75" s="18">
        <v>1.6129579951781046E-4</v>
      </c>
      <c r="AH75" s="18"/>
      <c r="AI75" s="18">
        <f t="shared" si="36"/>
        <v>1.2903663961424838E-4</v>
      </c>
      <c r="AJ75" s="18">
        <f t="shared" si="37"/>
        <v>6.7124780741275966E-2</v>
      </c>
      <c r="AK75" s="18"/>
      <c r="AL75" s="18"/>
      <c r="AM75" s="18">
        <f t="shared" si="38"/>
        <v>0</v>
      </c>
      <c r="AN75" s="18">
        <f t="shared" si="39"/>
        <v>0</v>
      </c>
      <c r="AP75">
        <f t="shared" si="40"/>
        <v>0</v>
      </c>
      <c r="AQ75">
        <f t="shared" si="41"/>
        <v>0</v>
      </c>
      <c r="AR75">
        <f t="shared" si="42"/>
        <v>0</v>
      </c>
    </row>
    <row r="76" spans="1:44" x14ac:dyDescent="0.3">
      <c r="A76" s="2" t="s">
        <v>157</v>
      </c>
      <c r="B76" s="2" t="s">
        <v>158</v>
      </c>
      <c r="C76">
        <v>4.9399999999999997E-4</v>
      </c>
      <c r="D76">
        <v>5.858910670766402E-4</v>
      </c>
      <c r="E76" s="18"/>
      <c r="F76" s="18"/>
      <c r="G76" s="18">
        <f t="shared" si="22"/>
        <v>0</v>
      </c>
      <c r="H76" s="18">
        <f t="shared" si="23"/>
        <v>0</v>
      </c>
      <c r="I76" s="18"/>
      <c r="J76" s="18"/>
      <c r="K76" s="18">
        <f t="shared" si="24"/>
        <v>0</v>
      </c>
      <c r="L76" s="18">
        <f t="shared" si="25"/>
        <v>0</v>
      </c>
      <c r="M76" s="18"/>
      <c r="N76" s="18"/>
      <c r="O76" s="18">
        <f t="shared" si="26"/>
        <v>0</v>
      </c>
      <c r="P76" s="18">
        <f t="shared" si="27"/>
        <v>0</v>
      </c>
      <c r="Q76" s="18"/>
      <c r="R76" s="18"/>
      <c r="S76" s="18">
        <f t="shared" si="28"/>
        <v>0</v>
      </c>
      <c r="T76" s="18">
        <f t="shared" si="29"/>
        <v>0</v>
      </c>
      <c r="U76" s="18"/>
      <c r="V76" s="18"/>
      <c r="W76" s="18">
        <f t="shared" si="30"/>
        <v>0</v>
      </c>
      <c r="X76" s="18">
        <f t="shared" si="31"/>
        <v>0</v>
      </c>
      <c r="Y76" s="18"/>
      <c r="Z76" s="18"/>
      <c r="AA76" s="18">
        <f t="shared" si="32"/>
        <v>0</v>
      </c>
      <c r="AB76" s="18">
        <f t="shared" si="33"/>
        <v>0</v>
      </c>
      <c r="AC76" s="18"/>
      <c r="AD76" s="18"/>
      <c r="AE76" s="18">
        <f t="shared" si="34"/>
        <v>0</v>
      </c>
      <c r="AF76" s="18">
        <f t="shared" si="35"/>
        <v>0</v>
      </c>
      <c r="AG76" s="18"/>
      <c r="AH76" s="18"/>
      <c r="AI76" s="18">
        <f t="shared" si="36"/>
        <v>0</v>
      </c>
      <c r="AJ76" s="18">
        <f t="shared" si="37"/>
        <v>0</v>
      </c>
      <c r="AK76" s="18"/>
      <c r="AL76" s="18"/>
      <c r="AM76" s="18">
        <f t="shared" si="38"/>
        <v>0</v>
      </c>
      <c r="AN76" s="18">
        <f t="shared" si="39"/>
        <v>0</v>
      </c>
      <c r="AP76">
        <f t="shared" si="40"/>
        <v>0</v>
      </c>
      <c r="AQ76">
        <f t="shared" si="41"/>
        <v>0</v>
      </c>
      <c r="AR76">
        <f t="shared" si="42"/>
        <v>0</v>
      </c>
    </row>
    <row r="77" spans="1:44" x14ac:dyDescent="0.3">
      <c r="A77" s="2" t="s">
        <v>159</v>
      </c>
      <c r="B77" s="2" t="s">
        <v>160</v>
      </c>
      <c r="C77">
        <v>1.0430000000000001E-3</v>
      </c>
      <c r="D77">
        <v>6.0151437509183156E-2</v>
      </c>
      <c r="E77" s="18"/>
      <c r="F77" s="18"/>
      <c r="G77" s="18">
        <f t="shared" si="22"/>
        <v>0</v>
      </c>
      <c r="H77" s="18">
        <f t="shared" si="23"/>
        <v>0</v>
      </c>
      <c r="I77" s="18">
        <v>1.1363636363636362E-2</v>
      </c>
      <c r="J77" s="18"/>
      <c r="K77" s="18">
        <f t="shared" si="24"/>
        <v>5.6818181818181811E-3</v>
      </c>
      <c r="L77" s="18">
        <f t="shared" si="25"/>
        <v>0.18891712042462006</v>
      </c>
      <c r="M77" s="18"/>
      <c r="N77" s="18"/>
      <c r="O77" s="18">
        <f t="shared" si="26"/>
        <v>0</v>
      </c>
      <c r="P77" s="18">
        <f t="shared" si="27"/>
        <v>0</v>
      </c>
      <c r="Q77" s="18"/>
      <c r="R77" s="18"/>
      <c r="S77" s="18">
        <f t="shared" si="28"/>
        <v>0</v>
      </c>
      <c r="T77" s="18">
        <f t="shared" si="29"/>
        <v>0</v>
      </c>
      <c r="U77" s="18"/>
      <c r="V77" s="18"/>
      <c r="W77" s="18">
        <f t="shared" si="30"/>
        <v>0</v>
      </c>
      <c r="X77" s="18">
        <f t="shared" si="31"/>
        <v>0</v>
      </c>
      <c r="Y77" s="18"/>
      <c r="Z77" s="18"/>
      <c r="AA77" s="18">
        <f t="shared" si="32"/>
        <v>0</v>
      </c>
      <c r="AB77" s="18">
        <f t="shared" si="33"/>
        <v>0</v>
      </c>
      <c r="AC77" s="18"/>
      <c r="AD77" s="18"/>
      <c r="AE77" s="18">
        <f t="shared" si="34"/>
        <v>0</v>
      </c>
      <c r="AF77" s="18">
        <f t="shared" si="35"/>
        <v>0</v>
      </c>
      <c r="AG77" s="18"/>
      <c r="AH77" s="18"/>
      <c r="AI77" s="18">
        <f t="shared" si="36"/>
        <v>0</v>
      </c>
      <c r="AJ77" s="18">
        <f t="shared" si="37"/>
        <v>0</v>
      </c>
      <c r="AK77" s="18"/>
      <c r="AL77" s="18"/>
      <c r="AM77" s="18">
        <f t="shared" si="38"/>
        <v>0</v>
      </c>
      <c r="AN77" s="18">
        <f t="shared" si="39"/>
        <v>0</v>
      </c>
      <c r="AP77">
        <f t="shared" si="40"/>
        <v>5.6818181818181811E-3</v>
      </c>
      <c r="AQ77">
        <f t="shared" si="41"/>
        <v>2.8409090909090906E-3</v>
      </c>
      <c r="AR77">
        <f t="shared" si="42"/>
        <v>2.8409090909090906E-3</v>
      </c>
    </row>
    <row r="78" spans="1:44" x14ac:dyDescent="0.3">
      <c r="A78" s="2" t="s">
        <v>161</v>
      </c>
      <c r="B78" s="2" t="s">
        <v>162</v>
      </c>
      <c r="C78">
        <v>7.4799999999999997E-4</v>
      </c>
      <c r="D78">
        <v>1.6912530604567652E-4</v>
      </c>
      <c r="E78" s="18"/>
      <c r="F78" s="18"/>
      <c r="G78" s="18">
        <f t="shared" si="22"/>
        <v>0</v>
      </c>
      <c r="H78" s="18">
        <f t="shared" si="23"/>
        <v>0</v>
      </c>
      <c r="I78" s="18"/>
      <c r="J78" s="18"/>
      <c r="K78" s="18">
        <f t="shared" si="24"/>
        <v>0</v>
      </c>
      <c r="L78" s="18">
        <f t="shared" si="25"/>
        <v>0</v>
      </c>
      <c r="M78" s="18"/>
      <c r="N78" s="18"/>
      <c r="O78" s="18">
        <f t="shared" si="26"/>
        <v>0</v>
      </c>
      <c r="P78" s="18">
        <f t="shared" si="27"/>
        <v>0</v>
      </c>
      <c r="Q78" s="18"/>
      <c r="R78" s="18"/>
      <c r="S78" s="18">
        <f t="shared" si="28"/>
        <v>0</v>
      </c>
      <c r="T78" s="18">
        <f t="shared" si="29"/>
        <v>0</v>
      </c>
      <c r="U78" s="18"/>
      <c r="V78" s="18"/>
      <c r="W78" s="18">
        <f t="shared" si="30"/>
        <v>0</v>
      </c>
      <c r="X78" s="18">
        <f t="shared" si="31"/>
        <v>0</v>
      </c>
      <c r="Y78" s="18"/>
      <c r="Z78" s="18"/>
      <c r="AA78" s="18">
        <f t="shared" si="32"/>
        <v>0</v>
      </c>
      <c r="AB78" s="18">
        <f t="shared" si="33"/>
        <v>0</v>
      </c>
      <c r="AC78" s="18"/>
      <c r="AD78" s="18"/>
      <c r="AE78" s="18">
        <f t="shared" si="34"/>
        <v>0</v>
      </c>
      <c r="AF78" s="18">
        <f t="shared" si="35"/>
        <v>0</v>
      </c>
      <c r="AG78" s="18"/>
      <c r="AH78" s="18"/>
      <c r="AI78" s="18">
        <f t="shared" si="36"/>
        <v>0</v>
      </c>
      <c r="AJ78" s="18">
        <f t="shared" si="37"/>
        <v>0</v>
      </c>
      <c r="AK78" s="18"/>
      <c r="AL78" s="18"/>
      <c r="AM78" s="18">
        <f t="shared" si="38"/>
        <v>0</v>
      </c>
      <c r="AN78" s="18">
        <f t="shared" si="39"/>
        <v>0</v>
      </c>
      <c r="AP78">
        <f t="shared" si="40"/>
        <v>0</v>
      </c>
      <c r="AQ78">
        <f t="shared" si="41"/>
        <v>0</v>
      </c>
      <c r="AR78">
        <f t="shared" si="42"/>
        <v>0</v>
      </c>
    </row>
    <row r="79" spans="1:44" x14ac:dyDescent="0.3">
      <c r="A79" s="2" t="s">
        <v>163</v>
      </c>
      <c r="B79" s="2" t="s">
        <v>164</v>
      </c>
      <c r="C79">
        <v>1.091E-3</v>
      </c>
      <c r="D79">
        <v>4.6035426607907409E-4</v>
      </c>
      <c r="E79" s="18"/>
      <c r="F79" s="18"/>
      <c r="G79" s="18">
        <f t="shared" si="22"/>
        <v>0</v>
      </c>
      <c r="H79" s="18">
        <f t="shared" si="23"/>
        <v>0</v>
      </c>
      <c r="I79" s="18"/>
      <c r="J79" s="18"/>
      <c r="K79" s="18">
        <f t="shared" si="24"/>
        <v>0</v>
      </c>
      <c r="L79" s="18">
        <f t="shared" si="25"/>
        <v>0</v>
      </c>
      <c r="M79" s="18"/>
      <c r="N79" s="18"/>
      <c r="O79" s="18">
        <f t="shared" si="26"/>
        <v>0</v>
      </c>
      <c r="P79" s="18">
        <f t="shared" si="27"/>
        <v>0</v>
      </c>
      <c r="Q79" s="18"/>
      <c r="R79" s="18"/>
      <c r="S79" s="18">
        <f t="shared" si="28"/>
        <v>0</v>
      </c>
      <c r="T79" s="18">
        <f t="shared" si="29"/>
        <v>0</v>
      </c>
      <c r="U79" s="18"/>
      <c r="V79" s="18"/>
      <c r="W79" s="18">
        <f t="shared" si="30"/>
        <v>0</v>
      </c>
      <c r="X79" s="18">
        <f t="shared" si="31"/>
        <v>0</v>
      </c>
      <c r="Y79" s="18"/>
      <c r="Z79" s="18"/>
      <c r="AA79" s="18">
        <f t="shared" si="32"/>
        <v>0</v>
      </c>
      <c r="AB79" s="18">
        <f t="shared" si="33"/>
        <v>0</v>
      </c>
      <c r="AC79" s="18"/>
      <c r="AD79" s="18"/>
      <c r="AE79" s="18">
        <f t="shared" si="34"/>
        <v>0</v>
      </c>
      <c r="AF79" s="18">
        <f t="shared" si="35"/>
        <v>0</v>
      </c>
      <c r="AG79" s="18"/>
      <c r="AH79" s="18"/>
      <c r="AI79" s="18">
        <f t="shared" si="36"/>
        <v>0</v>
      </c>
      <c r="AJ79" s="18">
        <f t="shared" si="37"/>
        <v>0</v>
      </c>
      <c r="AK79" s="18"/>
      <c r="AL79" s="18"/>
      <c r="AM79" s="18">
        <f t="shared" si="38"/>
        <v>0</v>
      </c>
      <c r="AN79" s="18">
        <f t="shared" si="39"/>
        <v>0</v>
      </c>
      <c r="AP79">
        <f t="shared" si="40"/>
        <v>0</v>
      </c>
      <c r="AQ79">
        <f t="shared" si="41"/>
        <v>0</v>
      </c>
      <c r="AR79">
        <f t="shared" si="42"/>
        <v>0</v>
      </c>
    </row>
    <row r="80" spans="1:44" x14ac:dyDescent="0.3">
      <c r="A80" s="2">
        <v>0</v>
      </c>
      <c r="B80" s="2" t="s">
        <v>489</v>
      </c>
      <c r="D80">
        <v>0.71045732146864082</v>
      </c>
      <c r="E80" s="18"/>
      <c r="F80" s="18"/>
      <c r="G80" s="18">
        <f t="shared" si="22"/>
        <v>0</v>
      </c>
      <c r="H80" s="18">
        <v>0</v>
      </c>
      <c r="I80" s="18"/>
      <c r="J80" s="18"/>
      <c r="K80" s="18">
        <f t="shared" si="24"/>
        <v>0</v>
      </c>
      <c r="L80" s="18">
        <v>0</v>
      </c>
      <c r="M80" s="18"/>
      <c r="N80" s="18"/>
      <c r="O80" s="18">
        <f t="shared" si="26"/>
        <v>0</v>
      </c>
      <c r="P80" s="18">
        <v>0</v>
      </c>
      <c r="Q80" s="18"/>
      <c r="R80" s="18"/>
      <c r="S80" s="18">
        <f t="shared" si="28"/>
        <v>0</v>
      </c>
      <c r="T80" s="18">
        <f t="shared" si="29"/>
        <v>0</v>
      </c>
      <c r="U80" s="18"/>
      <c r="V80" s="18"/>
      <c r="W80" s="18">
        <f t="shared" si="30"/>
        <v>0</v>
      </c>
      <c r="X80" s="18">
        <v>0</v>
      </c>
      <c r="Y80" s="18"/>
      <c r="Z80" s="18"/>
      <c r="AA80" s="18">
        <f t="shared" si="32"/>
        <v>0</v>
      </c>
      <c r="AB80" s="18">
        <v>0</v>
      </c>
      <c r="AC80" s="18"/>
      <c r="AD80" s="18"/>
      <c r="AE80" s="18">
        <f t="shared" si="34"/>
        <v>0</v>
      </c>
      <c r="AF80" s="18">
        <v>0</v>
      </c>
      <c r="AG80" s="18">
        <v>0.53057828788753436</v>
      </c>
      <c r="AH80" s="18"/>
      <c r="AI80" s="18">
        <f t="shared" si="36"/>
        <v>0.42446263031002751</v>
      </c>
      <c r="AJ80" s="18">
        <f t="shared" si="37"/>
        <v>0.74681233038845363</v>
      </c>
      <c r="AK80" s="18"/>
      <c r="AL80" s="18"/>
      <c r="AM80" s="18">
        <f t="shared" si="38"/>
        <v>0</v>
      </c>
      <c r="AN80" s="18">
        <f t="shared" si="39"/>
        <v>0</v>
      </c>
    </row>
    <row r="81" spans="1:44" x14ac:dyDescent="0.3">
      <c r="A81" s="2" t="s">
        <v>165</v>
      </c>
      <c r="B81" s="2" t="s">
        <v>166</v>
      </c>
      <c r="C81">
        <v>3.6826999999999999E-2</v>
      </c>
      <c r="D81">
        <v>5.5171351883459389E-2</v>
      </c>
      <c r="E81" s="18">
        <v>0.10071196958847808</v>
      </c>
      <c r="F81" s="18"/>
      <c r="G81" s="18">
        <f t="shared" si="22"/>
        <v>6.0427181753086846E-2</v>
      </c>
      <c r="H81" s="18">
        <f t="shared" si="23"/>
        <v>1.825439583231818</v>
      </c>
      <c r="I81" s="18"/>
      <c r="J81" s="18"/>
      <c r="K81" s="18">
        <f t="shared" si="24"/>
        <v>0</v>
      </c>
      <c r="L81" s="18">
        <f t="shared" si="25"/>
        <v>0</v>
      </c>
      <c r="M81" s="18">
        <v>8.860573004717591E-3</v>
      </c>
      <c r="N81" s="18"/>
      <c r="O81" s="18">
        <f t="shared" si="26"/>
        <v>2.2151432511793977E-3</v>
      </c>
      <c r="P81" s="18">
        <f t="shared" si="27"/>
        <v>0.16060097681554236</v>
      </c>
      <c r="Q81" s="18">
        <v>2.6852666134088792E-3</v>
      </c>
      <c r="R81" s="18"/>
      <c r="S81" s="18">
        <f t="shared" si="28"/>
        <v>8.0557998402266376E-4</v>
      </c>
      <c r="T81" s="18">
        <f t="shared" si="29"/>
        <v>4.8671394151824907E-2</v>
      </c>
      <c r="U81" s="18"/>
      <c r="V81" s="18"/>
      <c r="W81" s="18">
        <f t="shared" si="30"/>
        <v>0</v>
      </c>
      <c r="X81" s="18">
        <f t="shared" si="31"/>
        <v>0</v>
      </c>
      <c r="Y81" s="18"/>
      <c r="Z81" s="18"/>
      <c r="AA81" s="18">
        <f t="shared" si="32"/>
        <v>0</v>
      </c>
      <c r="AB81" s="18">
        <f t="shared" si="33"/>
        <v>0</v>
      </c>
      <c r="AC81" s="18">
        <v>4.8268798342378828E-3</v>
      </c>
      <c r="AD81" s="18"/>
      <c r="AE81" s="18">
        <f t="shared" si="34"/>
        <v>2.4134399171189414E-3</v>
      </c>
      <c r="AF81" s="18">
        <f t="shared" si="35"/>
        <v>8.7488880903877256E-2</v>
      </c>
      <c r="AG81" s="18">
        <v>3.1690379978946651E-2</v>
      </c>
      <c r="AH81" s="18"/>
      <c r="AI81" s="18">
        <f t="shared" si="36"/>
        <v>2.5352303983157323E-2</v>
      </c>
      <c r="AJ81" s="18">
        <f t="shared" si="37"/>
        <v>0.57439919264417305</v>
      </c>
      <c r="AK81" s="18"/>
      <c r="AL81" s="18"/>
      <c r="AM81" s="18">
        <f t="shared" si="38"/>
        <v>0</v>
      </c>
      <c r="AN81" s="18">
        <f t="shared" si="39"/>
        <v>0</v>
      </c>
      <c r="AP81">
        <f t="shared" si="40"/>
        <v>6.0427181753086846E-2</v>
      </c>
      <c r="AQ81">
        <f t="shared" si="41"/>
        <v>3.0213590876543423E-2</v>
      </c>
      <c r="AR81">
        <f t="shared" si="42"/>
        <v>3.0213590876543423E-2</v>
      </c>
    </row>
    <row r="82" spans="1:44" x14ac:dyDescent="0.3">
      <c r="A82" s="2" t="s">
        <v>167</v>
      </c>
      <c r="B82" s="2" t="s">
        <v>168</v>
      </c>
      <c r="C82">
        <v>4.8704999999999998E-2</v>
      </c>
      <c r="D82">
        <v>6.5867004831544812E-2</v>
      </c>
      <c r="E82" s="18">
        <v>6.9858013587383652E-2</v>
      </c>
      <c r="F82" s="18"/>
      <c r="G82" s="18">
        <f t="shared" si="22"/>
        <v>4.1914808152430191E-2</v>
      </c>
      <c r="H82" s="18">
        <f t="shared" si="23"/>
        <v>1.0605919271120019</v>
      </c>
      <c r="I82" s="18">
        <v>0.12302272727272727</v>
      </c>
      <c r="J82" s="18"/>
      <c r="K82" s="18">
        <f t="shared" si="24"/>
        <v>6.1511363636363635E-2</v>
      </c>
      <c r="L82" s="18">
        <f t="shared" si="25"/>
        <v>1.8677443674167133</v>
      </c>
      <c r="M82" s="18">
        <v>7.5097905482322078E-2</v>
      </c>
      <c r="N82" s="18"/>
      <c r="O82" s="18">
        <f t="shared" si="26"/>
        <v>1.8774476370580519E-2</v>
      </c>
      <c r="P82" s="18">
        <f t="shared" si="27"/>
        <v>1.1401445332816535</v>
      </c>
      <c r="Q82" s="18">
        <v>5.3705332268177586E-2</v>
      </c>
      <c r="R82" s="18"/>
      <c r="S82" s="18">
        <f t="shared" si="28"/>
        <v>1.6111599680453274E-2</v>
      </c>
      <c r="T82" s="18">
        <f t="shared" si="29"/>
        <v>0.81536017017214057</v>
      </c>
      <c r="U82" s="18">
        <v>4.459595885700908E-2</v>
      </c>
      <c r="V82" s="18"/>
      <c r="W82" s="18">
        <f t="shared" si="30"/>
        <v>1.7838383542803631E-2</v>
      </c>
      <c r="X82" s="18">
        <f t="shared" si="31"/>
        <v>0.67706067660224512</v>
      </c>
      <c r="Y82" s="18"/>
      <c r="Z82" s="18"/>
      <c r="AA82" s="18">
        <f t="shared" si="32"/>
        <v>0</v>
      </c>
      <c r="AB82" s="18">
        <f t="shared" si="33"/>
        <v>0</v>
      </c>
      <c r="AC82" s="18">
        <v>5.3401772995373256E-2</v>
      </c>
      <c r="AD82" s="18"/>
      <c r="AE82" s="18">
        <f t="shared" si="34"/>
        <v>2.6700886497686628E-2</v>
      </c>
      <c r="AF82" s="18">
        <f t="shared" si="35"/>
        <v>0.81075150042040856</v>
      </c>
      <c r="AG82" s="18">
        <v>1.5238208428129986E-2</v>
      </c>
      <c r="AH82" s="18"/>
      <c r="AI82" s="18">
        <f t="shared" si="36"/>
        <v>1.2190566742503989E-2</v>
      </c>
      <c r="AJ82" s="18">
        <f t="shared" si="37"/>
        <v>0.23134813048053085</v>
      </c>
      <c r="AK82" s="18"/>
      <c r="AL82" s="18"/>
      <c r="AM82" s="18">
        <f t="shared" si="38"/>
        <v>0</v>
      </c>
      <c r="AN82" s="18">
        <f t="shared" si="39"/>
        <v>0</v>
      </c>
      <c r="AP82">
        <f t="shared" si="40"/>
        <v>0.10342617178879382</v>
      </c>
      <c r="AQ82">
        <f t="shared" si="41"/>
        <v>5.171308589439691E-2</v>
      </c>
      <c r="AR82">
        <f t="shared" si="42"/>
        <v>5.171308589439691E-2</v>
      </c>
    </row>
    <row r="83" spans="1:44" x14ac:dyDescent="0.3">
      <c r="A83" s="2" t="s">
        <v>169</v>
      </c>
      <c r="B83" s="2" t="s">
        <v>170</v>
      </c>
      <c r="C83">
        <v>3.3561000000000001E-2</v>
      </c>
      <c r="D83">
        <v>4.3832177227497139E-2</v>
      </c>
      <c r="E83" s="18"/>
      <c r="F83" s="18"/>
      <c r="G83" s="18">
        <f t="shared" si="22"/>
        <v>0</v>
      </c>
      <c r="H83" s="18">
        <f t="shared" si="23"/>
        <v>0</v>
      </c>
      <c r="I83" s="18"/>
      <c r="J83" s="18"/>
      <c r="K83" s="18">
        <f t="shared" si="24"/>
        <v>0</v>
      </c>
      <c r="L83" s="18">
        <f t="shared" si="25"/>
        <v>0</v>
      </c>
      <c r="M83" s="18">
        <v>2.3663189043404562E-2</v>
      </c>
      <c r="N83" s="18"/>
      <c r="O83" s="18">
        <f t="shared" si="26"/>
        <v>5.9157972608511406E-3</v>
      </c>
      <c r="P83" s="18">
        <f t="shared" si="27"/>
        <v>0.53985885575768267</v>
      </c>
      <c r="Q83" s="18">
        <v>4.0278999201133189E-2</v>
      </c>
      <c r="R83" s="18"/>
      <c r="S83" s="18">
        <f t="shared" si="28"/>
        <v>1.2083699760339956E-2</v>
      </c>
      <c r="T83" s="18">
        <f t="shared" si="29"/>
        <v>0.91893676629563037</v>
      </c>
      <c r="U83" s="18"/>
      <c r="V83" s="18"/>
      <c r="W83" s="18">
        <f t="shared" si="30"/>
        <v>0</v>
      </c>
      <c r="X83" s="18">
        <f t="shared" si="31"/>
        <v>0</v>
      </c>
      <c r="Y83" s="18"/>
      <c r="Z83" s="18"/>
      <c r="AA83" s="18">
        <f t="shared" si="32"/>
        <v>0</v>
      </c>
      <c r="AB83" s="18">
        <f t="shared" si="33"/>
        <v>0</v>
      </c>
      <c r="AC83" s="18"/>
      <c r="AD83" s="18"/>
      <c r="AE83" s="18">
        <f t="shared" si="34"/>
        <v>0</v>
      </c>
      <c r="AF83" s="18">
        <f t="shared" si="35"/>
        <v>0</v>
      </c>
      <c r="AG83" s="18">
        <v>1.0467248463445277E-2</v>
      </c>
      <c r="AH83" s="18"/>
      <c r="AI83" s="18">
        <f t="shared" si="36"/>
        <v>8.3737987707562227E-3</v>
      </c>
      <c r="AJ83" s="18">
        <f t="shared" si="37"/>
        <v>0.23880284132632321</v>
      </c>
      <c r="AK83" s="18">
        <v>3.9410604249134763E-2</v>
      </c>
      <c r="AL83" s="18"/>
      <c r="AM83" s="18">
        <f t="shared" si="38"/>
        <v>1.5764241699653906E-2</v>
      </c>
      <c r="AN83" s="18">
        <f t="shared" si="39"/>
        <v>0.89912495207770327</v>
      </c>
      <c r="AP83">
        <f t="shared" si="40"/>
        <v>0</v>
      </c>
      <c r="AQ83">
        <f t="shared" si="41"/>
        <v>0</v>
      </c>
      <c r="AR83">
        <f t="shared" si="42"/>
        <v>0</v>
      </c>
    </row>
    <row r="84" spans="1:44" x14ac:dyDescent="0.3">
      <c r="A84" s="2" t="s">
        <v>171</v>
      </c>
      <c r="B84" s="2" t="s">
        <v>172</v>
      </c>
      <c r="C84">
        <v>3.1852999999999999E-2</v>
      </c>
      <c r="D84">
        <v>3.5111366883274764E-2</v>
      </c>
      <c r="E84" s="18"/>
      <c r="F84" s="18"/>
      <c r="G84" s="18">
        <f t="shared" si="22"/>
        <v>0</v>
      </c>
      <c r="H84" s="18">
        <f t="shared" si="23"/>
        <v>0</v>
      </c>
      <c r="I84" s="18"/>
      <c r="J84" s="18"/>
      <c r="K84" s="18">
        <f t="shared" si="24"/>
        <v>0</v>
      </c>
      <c r="L84" s="18">
        <f t="shared" si="25"/>
        <v>0</v>
      </c>
      <c r="M84" s="18"/>
      <c r="N84" s="18"/>
      <c r="O84" s="18">
        <f t="shared" si="26"/>
        <v>0</v>
      </c>
      <c r="P84" s="18">
        <f t="shared" si="27"/>
        <v>0</v>
      </c>
      <c r="Q84" s="18"/>
      <c r="R84" s="18"/>
      <c r="S84" s="18">
        <f t="shared" si="28"/>
        <v>0</v>
      </c>
      <c r="T84" s="18">
        <f t="shared" si="29"/>
        <v>0</v>
      </c>
      <c r="U84" s="18"/>
      <c r="V84" s="18"/>
      <c r="W84" s="18">
        <f t="shared" si="30"/>
        <v>0</v>
      </c>
      <c r="X84" s="18">
        <f t="shared" si="31"/>
        <v>0</v>
      </c>
      <c r="Y84" s="18"/>
      <c r="Z84" s="18"/>
      <c r="AA84" s="18">
        <f t="shared" si="32"/>
        <v>0</v>
      </c>
      <c r="AB84" s="18">
        <f t="shared" si="33"/>
        <v>0</v>
      </c>
      <c r="AC84" s="18"/>
      <c r="AD84" s="18"/>
      <c r="AE84" s="18">
        <f t="shared" si="34"/>
        <v>0</v>
      </c>
      <c r="AF84" s="18">
        <f t="shared" si="35"/>
        <v>0</v>
      </c>
      <c r="AG84" s="18"/>
      <c r="AH84" s="18"/>
      <c r="AI84" s="18">
        <f t="shared" si="36"/>
        <v>0</v>
      </c>
      <c r="AJ84" s="18">
        <f t="shared" si="37"/>
        <v>0</v>
      </c>
      <c r="AK84" s="18"/>
      <c r="AL84" s="18"/>
      <c r="AM84" s="18">
        <f t="shared" si="38"/>
        <v>0</v>
      </c>
      <c r="AN84" s="18">
        <f t="shared" si="39"/>
        <v>0</v>
      </c>
      <c r="AP84">
        <f t="shared" si="40"/>
        <v>0</v>
      </c>
      <c r="AQ84">
        <f t="shared" si="41"/>
        <v>0</v>
      </c>
      <c r="AR84">
        <f t="shared" si="42"/>
        <v>0</v>
      </c>
    </row>
    <row r="85" spans="1:44" x14ac:dyDescent="0.3">
      <c r="A85" s="2" t="s">
        <v>173</v>
      </c>
      <c r="B85" s="2" t="s">
        <v>174</v>
      </c>
      <c r="C85">
        <v>1.552E-3</v>
      </c>
      <c r="D85">
        <v>1.7717003655536138E-3</v>
      </c>
      <c r="E85" s="18"/>
      <c r="F85" s="18"/>
      <c r="G85" s="18">
        <f t="shared" si="22"/>
        <v>0</v>
      </c>
      <c r="H85" s="18">
        <f t="shared" si="23"/>
        <v>0</v>
      </c>
      <c r="I85" s="18"/>
      <c r="J85" s="18"/>
      <c r="K85" s="18">
        <f t="shared" si="24"/>
        <v>0</v>
      </c>
      <c r="L85" s="18">
        <f t="shared" si="25"/>
        <v>0</v>
      </c>
      <c r="M85" s="18"/>
      <c r="N85" s="18"/>
      <c r="O85" s="18">
        <f t="shared" si="26"/>
        <v>0</v>
      </c>
      <c r="P85" s="18">
        <f t="shared" si="27"/>
        <v>0</v>
      </c>
      <c r="Q85" s="18"/>
      <c r="R85" s="18"/>
      <c r="S85" s="18">
        <f t="shared" si="28"/>
        <v>0</v>
      </c>
      <c r="T85" s="18">
        <f t="shared" si="29"/>
        <v>0</v>
      </c>
      <c r="U85" s="18"/>
      <c r="V85" s="18"/>
      <c r="W85" s="18">
        <f t="shared" si="30"/>
        <v>0</v>
      </c>
      <c r="X85" s="18">
        <f t="shared" si="31"/>
        <v>0</v>
      </c>
      <c r="Y85" s="18"/>
      <c r="Z85" s="18"/>
      <c r="AA85" s="18">
        <f t="shared" si="32"/>
        <v>0</v>
      </c>
      <c r="AB85" s="18">
        <f t="shared" si="33"/>
        <v>0</v>
      </c>
      <c r="AC85" s="18"/>
      <c r="AD85" s="18"/>
      <c r="AE85" s="18">
        <f t="shared" si="34"/>
        <v>0</v>
      </c>
      <c r="AF85" s="18">
        <f t="shared" si="35"/>
        <v>0</v>
      </c>
      <c r="AG85" s="18"/>
      <c r="AH85" s="18"/>
      <c r="AI85" s="18">
        <f t="shared" si="36"/>
        <v>0</v>
      </c>
      <c r="AJ85" s="18">
        <f t="shared" si="37"/>
        <v>0</v>
      </c>
      <c r="AK85" s="18"/>
      <c r="AL85" s="18"/>
      <c r="AM85" s="18">
        <f t="shared" si="38"/>
        <v>0</v>
      </c>
      <c r="AN85" s="18">
        <f t="shared" si="39"/>
        <v>0</v>
      </c>
      <c r="AP85">
        <f t="shared" si="40"/>
        <v>0</v>
      </c>
      <c r="AQ85">
        <f t="shared" si="41"/>
        <v>0</v>
      </c>
      <c r="AR85">
        <f t="shared" si="42"/>
        <v>0</v>
      </c>
    </row>
    <row r="86" spans="1:44" x14ac:dyDescent="0.3">
      <c r="A86" s="2" t="s">
        <v>175</v>
      </c>
      <c r="B86" s="2" t="s">
        <v>176</v>
      </c>
      <c r="C86">
        <v>9.3955999999999998E-2</v>
      </c>
      <c r="D86">
        <v>0.12716769640179826</v>
      </c>
      <c r="E86" s="18">
        <v>0.2183062924605739</v>
      </c>
      <c r="F86" s="18"/>
      <c r="G86" s="18">
        <f t="shared" si="22"/>
        <v>0.13098377547634432</v>
      </c>
      <c r="H86" s="18">
        <f t="shared" si="23"/>
        <v>1.7166804042027679</v>
      </c>
      <c r="I86" s="18">
        <v>0.1351590909090909</v>
      </c>
      <c r="J86" s="18"/>
      <c r="K86" s="18">
        <f t="shared" si="24"/>
        <v>6.7579545454545448E-2</v>
      </c>
      <c r="L86" s="18">
        <f t="shared" si="25"/>
        <v>1.062841387659041</v>
      </c>
      <c r="M86" s="18">
        <v>0.17664455139499785</v>
      </c>
      <c r="N86" s="18"/>
      <c r="O86" s="18">
        <f t="shared" si="26"/>
        <v>4.4161137848749463E-2</v>
      </c>
      <c r="P86" s="18">
        <f t="shared" si="27"/>
        <v>1.3890677931042552</v>
      </c>
      <c r="Q86" s="18">
        <v>0.11748041433663847</v>
      </c>
      <c r="R86" s="18"/>
      <c r="S86" s="18">
        <f t="shared" si="28"/>
        <v>3.5244124300991539E-2</v>
      </c>
      <c r="T86" s="18">
        <f t="shared" si="29"/>
        <v>0.92382277622964948</v>
      </c>
      <c r="U86" s="18">
        <v>0.10521310372071926</v>
      </c>
      <c r="V86" s="18"/>
      <c r="W86" s="18">
        <f t="shared" si="30"/>
        <v>4.2085241488287711E-2</v>
      </c>
      <c r="X86" s="18">
        <f t="shared" si="31"/>
        <v>0.82735715671288568</v>
      </c>
      <c r="Y86" s="18">
        <v>0.22838074732737285</v>
      </c>
      <c r="Z86" s="18"/>
      <c r="AA86" s="18">
        <f t="shared" si="32"/>
        <v>0.11419037366368642</v>
      </c>
      <c r="AB86" s="18">
        <f t="shared" si="33"/>
        <v>1.7959022125067239</v>
      </c>
      <c r="AC86" s="18">
        <v>7.6770935119671299E-2</v>
      </c>
      <c r="AD86" s="18"/>
      <c r="AE86" s="18">
        <f t="shared" si="34"/>
        <v>3.838546755983565E-2</v>
      </c>
      <c r="AF86" s="18">
        <f t="shared" si="35"/>
        <v>0.60369840212491022</v>
      </c>
      <c r="AG86" s="18">
        <v>9.9273319976909219E-2</v>
      </c>
      <c r="AH86" s="18"/>
      <c r="AI86" s="18">
        <f t="shared" si="36"/>
        <v>7.9418655981527378E-2</v>
      </c>
      <c r="AJ86" s="18">
        <f t="shared" si="37"/>
        <v>0.78064888164086776</v>
      </c>
      <c r="AK86" s="18">
        <v>0.27883929087867443</v>
      </c>
      <c r="AL86" s="18"/>
      <c r="AM86" s="18">
        <f t="shared" si="38"/>
        <v>0.11153571635146978</v>
      </c>
      <c r="AN86" s="18">
        <f t="shared" si="39"/>
        <v>2.1926896434268617</v>
      </c>
      <c r="AP86">
        <f t="shared" si="40"/>
        <v>0.19856332093088977</v>
      </c>
      <c r="AQ86">
        <f t="shared" si="41"/>
        <v>9.9281660465444885E-2</v>
      </c>
      <c r="AR86">
        <f t="shared" si="42"/>
        <v>9.9281660465444885E-2</v>
      </c>
    </row>
    <row r="87" spans="1:44" x14ac:dyDescent="0.3">
      <c r="A87" s="2" t="s">
        <v>177</v>
      </c>
      <c r="B87" s="2" t="s">
        <v>178</v>
      </c>
      <c r="C87">
        <v>3.0400000000000002E-4</v>
      </c>
      <c r="D87">
        <v>4.8755236604398878E-4</v>
      </c>
      <c r="E87" s="18"/>
      <c r="F87" s="18"/>
      <c r="G87" s="18">
        <f t="shared" si="22"/>
        <v>0</v>
      </c>
      <c r="H87" s="18">
        <f t="shared" si="23"/>
        <v>0</v>
      </c>
      <c r="I87" s="18">
        <v>2.9545454545454542E-4</v>
      </c>
      <c r="J87" s="18"/>
      <c r="K87" s="18">
        <f t="shared" si="24"/>
        <v>1.4772727272727271E-4</v>
      </c>
      <c r="L87" s="18">
        <f t="shared" si="25"/>
        <v>0.60599551152191189</v>
      </c>
      <c r="M87" s="18"/>
      <c r="N87" s="18"/>
      <c r="O87" s="18">
        <f t="shared" si="26"/>
        <v>0</v>
      </c>
      <c r="P87" s="18">
        <f t="shared" si="27"/>
        <v>0</v>
      </c>
      <c r="Q87" s="18"/>
      <c r="R87" s="18"/>
      <c r="S87" s="18">
        <f t="shared" si="28"/>
        <v>0</v>
      </c>
      <c r="T87" s="18">
        <f t="shared" si="29"/>
        <v>0</v>
      </c>
      <c r="U87" s="18"/>
      <c r="V87" s="18"/>
      <c r="W87" s="18">
        <f t="shared" si="30"/>
        <v>0</v>
      </c>
      <c r="X87" s="18">
        <f t="shared" si="31"/>
        <v>0</v>
      </c>
      <c r="Y87" s="18"/>
      <c r="Z87" s="18"/>
      <c r="AA87" s="18">
        <f t="shared" si="32"/>
        <v>0</v>
      </c>
      <c r="AB87" s="18">
        <f t="shared" si="33"/>
        <v>0</v>
      </c>
      <c r="AC87" s="18"/>
      <c r="AD87" s="18"/>
      <c r="AE87" s="18">
        <f t="shared" si="34"/>
        <v>0</v>
      </c>
      <c r="AF87" s="18">
        <f t="shared" si="35"/>
        <v>0</v>
      </c>
      <c r="AG87" s="18"/>
      <c r="AH87" s="18"/>
      <c r="AI87" s="18">
        <f t="shared" si="36"/>
        <v>0</v>
      </c>
      <c r="AJ87" s="18">
        <f t="shared" si="37"/>
        <v>0</v>
      </c>
      <c r="AK87" s="18"/>
      <c r="AL87" s="18"/>
      <c r="AM87" s="18">
        <f t="shared" si="38"/>
        <v>0</v>
      </c>
      <c r="AN87" s="18">
        <f t="shared" si="39"/>
        <v>0</v>
      </c>
      <c r="AP87">
        <f t="shared" si="40"/>
        <v>1.4772727272727271E-4</v>
      </c>
      <c r="AQ87">
        <f t="shared" si="41"/>
        <v>7.3863636363636354E-5</v>
      </c>
      <c r="AR87">
        <f t="shared" si="42"/>
        <v>7.3863636363636354E-5</v>
      </c>
    </row>
    <row r="88" spans="1:44" x14ac:dyDescent="0.3">
      <c r="A88" s="2" t="s">
        <v>179</v>
      </c>
      <c r="B88" s="2" t="s">
        <v>180</v>
      </c>
      <c r="C88">
        <v>1.1640000000000001E-3</v>
      </c>
      <c r="D88">
        <v>1.7606036944813911E-3</v>
      </c>
      <c r="E88" s="18"/>
      <c r="F88" s="18"/>
      <c r="G88" s="18">
        <f t="shared" si="22"/>
        <v>0</v>
      </c>
      <c r="H88" s="18">
        <f t="shared" si="23"/>
        <v>0</v>
      </c>
      <c r="I88" s="18"/>
      <c r="J88" s="18"/>
      <c r="K88" s="18">
        <f t="shared" si="24"/>
        <v>0</v>
      </c>
      <c r="L88" s="18">
        <f t="shared" si="25"/>
        <v>0</v>
      </c>
      <c r="M88" s="18">
        <v>8.9585572243590177E-4</v>
      </c>
      <c r="N88" s="18"/>
      <c r="O88" s="18">
        <f t="shared" si="26"/>
        <v>2.2396393060897544E-4</v>
      </c>
      <c r="P88" s="18">
        <f t="shared" si="27"/>
        <v>0.50883439881670123</v>
      </c>
      <c r="Q88" s="18"/>
      <c r="R88" s="18"/>
      <c r="S88" s="18">
        <f t="shared" si="28"/>
        <v>0</v>
      </c>
      <c r="T88" s="18">
        <f t="shared" si="29"/>
        <v>0</v>
      </c>
      <c r="U88" s="18"/>
      <c r="V88" s="18"/>
      <c r="W88" s="18">
        <f t="shared" si="30"/>
        <v>0</v>
      </c>
      <c r="X88" s="18">
        <f t="shared" si="31"/>
        <v>0</v>
      </c>
      <c r="Y88" s="18"/>
      <c r="Z88" s="18"/>
      <c r="AA88" s="18">
        <f t="shared" si="32"/>
        <v>0</v>
      </c>
      <c r="AB88" s="18">
        <f t="shared" si="33"/>
        <v>0</v>
      </c>
      <c r="AC88" s="18"/>
      <c r="AD88" s="18"/>
      <c r="AE88" s="18">
        <f t="shared" si="34"/>
        <v>0</v>
      </c>
      <c r="AF88" s="18">
        <f t="shared" si="35"/>
        <v>0</v>
      </c>
      <c r="AG88" s="18"/>
      <c r="AH88" s="18"/>
      <c r="AI88" s="18">
        <f t="shared" si="36"/>
        <v>0</v>
      </c>
      <c r="AJ88" s="18">
        <f t="shared" si="37"/>
        <v>0</v>
      </c>
      <c r="AK88" s="18"/>
      <c r="AL88" s="18"/>
      <c r="AM88" s="18">
        <f t="shared" si="38"/>
        <v>0</v>
      </c>
      <c r="AN88" s="18">
        <f t="shared" si="39"/>
        <v>0</v>
      </c>
      <c r="AP88">
        <f t="shared" si="40"/>
        <v>0</v>
      </c>
      <c r="AQ88">
        <f t="shared" si="41"/>
        <v>0</v>
      </c>
      <c r="AR88">
        <f t="shared" si="42"/>
        <v>0</v>
      </c>
    </row>
    <row r="89" spans="1:44" x14ac:dyDescent="0.3">
      <c r="A89" s="2" t="s">
        <v>181</v>
      </c>
      <c r="B89" s="2" t="s">
        <v>182</v>
      </c>
      <c r="C89">
        <v>4.2189999999999997E-3</v>
      </c>
      <c r="D89">
        <v>4.9666091660325162E-3</v>
      </c>
      <c r="E89" s="18"/>
      <c r="F89" s="18"/>
      <c r="G89" s="18">
        <f t="shared" si="22"/>
        <v>0</v>
      </c>
      <c r="H89" s="18">
        <f t="shared" si="23"/>
        <v>0</v>
      </c>
      <c r="I89" s="18"/>
      <c r="J89" s="18"/>
      <c r="K89" s="18">
        <f t="shared" si="24"/>
        <v>0</v>
      </c>
      <c r="L89" s="18">
        <f t="shared" si="25"/>
        <v>0</v>
      </c>
      <c r="M89" s="18"/>
      <c r="N89" s="18"/>
      <c r="O89" s="18">
        <f t="shared" si="26"/>
        <v>0</v>
      </c>
      <c r="P89" s="18">
        <f t="shared" si="27"/>
        <v>0</v>
      </c>
      <c r="Q89" s="18"/>
      <c r="R89" s="18"/>
      <c r="S89" s="18">
        <f t="shared" si="28"/>
        <v>0</v>
      </c>
      <c r="T89" s="18">
        <f t="shared" si="29"/>
        <v>0</v>
      </c>
      <c r="U89" s="18"/>
      <c r="V89" s="18"/>
      <c r="W89" s="18">
        <f t="shared" si="30"/>
        <v>0</v>
      </c>
      <c r="X89" s="18">
        <f t="shared" si="31"/>
        <v>0</v>
      </c>
      <c r="Y89" s="18"/>
      <c r="Z89" s="18"/>
      <c r="AA89" s="18">
        <f t="shared" si="32"/>
        <v>0</v>
      </c>
      <c r="AB89" s="18">
        <f t="shared" si="33"/>
        <v>0</v>
      </c>
      <c r="AC89" s="18"/>
      <c r="AD89" s="18"/>
      <c r="AE89" s="18">
        <f t="shared" si="34"/>
        <v>0</v>
      </c>
      <c r="AF89" s="18">
        <f t="shared" si="35"/>
        <v>0</v>
      </c>
      <c r="AG89" s="18"/>
      <c r="AH89" s="18"/>
      <c r="AI89" s="18">
        <f t="shared" si="36"/>
        <v>0</v>
      </c>
      <c r="AJ89" s="18">
        <f t="shared" si="37"/>
        <v>0</v>
      </c>
      <c r="AK89" s="18"/>
      <c r="AL89" s="18"/>
      <c r="AM89" s="18">
        <f t="shared" si="38"/>
        <v>0</v>
      </c>
      <c r="AN89" s="18">
        <f t="shared" si="39"/>
        <v>0</v>
      </c>
      <c r="AP89">
        <f t="shared" si="40"/>
        <v>0</v>
      </c>
      <c r="AQ89">
        <f t="shared" si="41"/>
        <v>0</v>
      </c>
      <c r="AR89">
        <f t="shared" si="42"/>
        <v>0</v>
      </c>
    </row>
    <row r="90" spans="1:44" x14ac:dyDescent="0.3">
      <c r="A90" s="2" t="s">
        <v>183</v>
      </c>
      <c r="B90" s="2" t="s">
        <v>184</v>
      </c>
      <c r="C90">
        <v>1.7558000000000001E-2</v>
      </c>
      <c r="D90">
        <v>5.0790747384746055E-3</v>
      </c>
      <c r="E90" s="18"/>
      <c r="F90" s="18"/>
      <c r="G90" s="18">
        <f t="shared" si="22"/>
        <v>0</v>
      </c>
      <c r="H90" s="18">
        <f t="shared" si="23"/>
        <v>0</v>
      </c>
      <c r="I90" s="18"/>
      <c r="J90" s="18"/>
      <c r="K90" s="18">
        <f t="shared" si="24"/>
        <v>0</v>
      </c>
      <c r="L90" s="18">
        <f t="shared" si="25"/>
        <v>0</v>
      </c>
      <c r="M90" s="18"/>
      <c r="N90" s="18"/>
      <c r="O90" s="18">
        <f t="shared" si="26"/>
        <v>0</v>
      </c>
      <c r="P90" s="18">
        <f t="shared" si="27"/>
        <v>0</v>
      </c>
      <c r="Q90" s="18"/>
      <c r="R90" s="18"/>
      <c r="S90" s="18">
        <f t="shared" si="28"/>
        <v>0</v>
      </c>
      <c r="T90" s="18">
        <f t="shared" si="29"/>
        <v>0</v>
      </c>
      <c r="U90" s="18"/>
      <c r="V90" s="18"/>
      <c r="W90" s="18">
        <f t="shared" si="30"/>
        <v>0</v>
      </c>
      <c r="X90" s="18">
        <f t="shared" si="31"/>
        <v>0</v>
      </c>
      <c r="Y90" s="18"/>
      <c r="Z90" s="18"/>
      <c r="AA90" s="18">
        <f t="shared" si="32"/>
        <v>0</v>
      </c>
      <c r="AB90" s="18">
        <f t="shared" si="33"/>
        <v>0</v>
      </c>
      <c r="AC90" s="18"/>
      <c r="AD90" s="18"/>
      <c r="AE90" s="18">
        <f t="shared" si="34"/>
        <v>0</v>
      </c>
      <c r="AF90" s="18">
        <f t="shared" si="35"/>
        <v>0</v>
      </c>
      <c r="AG90" s="18"/>
      <c r="AH90" s="18"/>
      <c r="AI90" s="18">
        <f t="shared" si="36"/>
        <v>0</v>
      </c>
      <c r="AJ90" s="18">
        <f t="shared" si="37"/>
        <v>0</v>
      </c>
      <c r="AK90" s="18"/>
      <c r="AL90" s="18"/>
      <c r="AM90" s="18">
        <f t="shared" si="38"/>
        <v>0</v>
      </c>
      <c r="AN90" s="18">
        <f t="shared" si="39"/>
        <v>0</v>
      </c>
      <c r="AP90">
        <f t="shared" si="40"/>
        <v>0</v>
      </c>
      <c r="AQ90">
        <f t="shared" si="41"/>
        <v>0</v>
      </c>
      <c r="AR90">
        <f t="shared" si="42"/>
        <v>0</v>
      </c>
    </row>
    <row r="91" spans="1:44" x14ac:dyDescent="0.3">
      <c r="A91" s="2" t="s">
        <v>185</v>
      </c>
      <c r="B91" s="2" t="s">
        <v>186</v>
      </c>
      <c r="C91">
        <v>6.2200000000000005E-4</v>
      </c>
      <c r="D91">
        <v>7.664975439028018E-4</v>
      </c>
      <c r="E91" s="18"/>
      <c r="F91" s="18"/>
      <c r="G91" s="18">
        <f t="shared" si="22"/>
        <v>0</v>
      </c>
      <c r="H91" s="18">
        <f t="shared" si="23"/>
        <v>0</v>
      </c>
      <c r="I91" s="18"/>
      <c r="J91" s="18"/>
      <c r="K91" s="18">
        <f t="shared" si="24"/>
        <v>0</v>
      </c>
      <c r="L91" s="18">
        <f t="shared" si="25"/>
        <v>0</v>
      </c>
      <c r="M91" s="18"/>
      <c r="N91" s="18"/>
      <c r="O91" s="18">
        <f t="shared" si="26"/>
        <v>0</v>
      </c>
      <c r="P91" s="18">
        <f t="shared" si="27"/>
        <v>0</v>
      </c>
      <c r="Q91" s="18"/>
      <c r="R91" s="18"/>
      <c r="S91" s="18">
        <f t="shared" si="28"/>
        <v>0</v>
      </c>
      <c r="T91" s="18">
        <f t="shared" si="29"/>
        <v>0</v>
      </c>
      <c r="U91" s="18"/>
      <c r="V91" s="18"/>
      <c r="W91" s="18">
        <f t="shared" si="30"/>
        <v>0</v>
      </c>
      <c r="X91" s="18">
        <f t="shared" si="31"/>
        <v>0</v>
      </c>
      <c r="Y91" s="18"/>
      <c r="Z91" s="18"/>
      <c r="AA91" s="18">
        <f t="shared" si="32"/>
        <v>0</v>
      </c>
      <c r="AB91" s="18">
        <f t="shared" si="33"/>
        <v>0</v>
      </c>
      <c r="AC91" s="18"/>
      <c r="AD91" s="18"/>
      <c r="AE91" s="18">
        <f t="shared" si="34"/>
        <v>0</v>
      </c>
      <c r="AF91" s="18">
        <f t="shared" si="35"/>
        <v>0</v>
      </c>
      <c r="AG91" s="18"/>
      <c r="AH91" s="18"/>
      <c r="AI91" s="18">
        <f t="shared" si="36"/>
        <v>0</v>
      </c>
      <c r="AJ91" s="18">
        <f t="shared" si="37"/>
        <v>0</v>
      </c>
      <c r="AK91" s="18"/>
      <c r="AL91" s="18"/>
      <c r="AM91" s="18">
        <f t="shared" si="38"/>
        <v>0</v>
      </c>
      <c r="AN91" s="18">
        <f t="shared" si="39"/>
        <v>0</v>
      </c>
      <c r="AP91">
        <f t="shared" si="40"/>
        <v>0</v>
      </c>
      <c r="AQ91">
        <f t="shared" si="41"/>
        <v>0</v>
      </c>
      <c r="AR91">
        <f t="shared" si="42"/>
        <v>0</v>
      </c>
    </row>
    <row r="92" spans="1:44" x14ac:dyDescent="0.3">
      <c r="A92" s="2" t="s">
        <v>187</v>
      </c>
      <c r="B92" s="2" t="s">
        <v>188</v>
      </c>
      <c r="C92">
        <v>3.6157000000000002E-2</v>
      </c>
      <c r="D92">
        <v>5.3000308157059098E-2</v>
      </c>
      <c r="E92" s="18">
        <v>4.4243408605342975E-2</v>
      </c>
      <c r="F92" s="18"/>
      <c r="G92" s="18">
        <f t="shared" si="22"/>
        <v>2.6546045163205783E-2</v>
      </c>
      <c r="H92" s="18">
        <f t="shared" si="23"/>
        <v>0.83477644081301827</v>
      </c>
      <c r="I92" s="18">
        <v>0.11551136363636363</v>
      </c>
      <c r="J92" s="18"/>
      <c r="K92" s="18">
        <f t="shared" si="24"/>
        <v>5.7755681818181817E-2</v>
      </c>
      <c r="L92" s="18">
        <f t="shared" si="25"/>
        <v>2.179447019327919</v>
      </c>
      <c r="M92" s="18">
        <v>3.6170174793349531E-2</v>
      </c>
      <c r="N92" s="18"/>
      <c r="O92" s="18">
        <f t="shared" si="26"/>
        <v>9.0425436983373828E-3</v>
      </c>
      <c r="P92" s="18">
        <f t="shared" si="27"/>
        <v>0.68245216020563904</v>
      </c>
      <c r="Q92" s="18">
        <v>3.6251099281019869E-2</v>
      </c>
      <c r="R92" s="18"/>
      <c r="S92" s="18">
        <f t="shared" si="28"/>
        <v>1.087532978430596E-2</v>
      </c>
      <c r="T92" s="18">
        <f t="shared" si="29"/>
        <v>0.68397902845384861</v>
      </c>
      <c r="U92" s="18">
        <v>5.5276749528143147E-2</v>
      </c>
      <c r="V92" s="18"/>
      <c r="W92" s="18">
        <f t="shared" si="30"/>
        <v>2.211069981125726E-2</v>
      </c>
      <c r="X92" s="18">
        <f t="shared" si="31"/>
        <v>1.0429514742506427</v>
      </c>
      <c r="Y92" s="18">
        <v>0.14798239822551218</v>
      </c>
      <c r="Z92" s="18"/>
      <c r="AA92" s="18">
        <f t="shared" si="32"/>
        <v>7.399119911275609E-2</v>
      </c>
      <c r="AB92" s="18">
        <f t="shared" si="33"/>
        <v>2.7921044871472591</v>
      </c>
      <c r="AC92" s="18">
        <v>2.8561001165514889E-2</v>
      </c>
      <c r="AD92" s="18"/>
      <c r="AE92" s="18">
        <f t="shared" si="34"/>
        <v>1.4280500582757445E-2</v>
      </c>
      <c r="AF92" s="18">
        <f t="shared" si="35"/>
        <v>0.53888368122083941</v>
      </c>
      <c r="AG92" s="18">
        <v>3.1995993072769874E-2</v>
      </c>
      <c r="AH92" s="18"/>
      <c r="AI92" s="18">
        <f t="shared" si="36"/>
        <v>2.5596794458215902E-2</v>
      </c>
      <c r="AJ92" s="18">
        <f t="shared" si="37"/>
        <v>0.60369447245389907</v>
      </c>
      <c r="AK92" s="18">
        <v>6.1884419895335569E-3</v>
      </c>
      <c r="AL92" s="18"/>
      <c r="AM92" s="18">
        <f t="shared" si="38"/>
        <v>2.475376795813423E-3</v>
      </c>
      <c r="AN92" s="18">
        <f t="shared" si="39"/>
        <v>0.1167623775166545</v>
      </c>
      <c r="AP92">
        <f t="shared" si="40"/>
        <v>8.4301726981387604E-2</v>
      </c>
      <c r="AQ92">
        <f t="shared" si="41"/>
        <v>4.2150863490693802E-2</v>
      </c>
      <c r="AR92">
        <f t="shared" si="42"/>
        <v>4.2150863490693802E-2</v>
      </c>
    </row>
    <row r="93" spans="1:44" x14ac:dyDescent="0.3">
      <c r="A93" s="2" t="s">
        <v>189</v>
      </c>
      <c r="B93" s="2" t="s">
        <v>190</v>
      </c>
      <c r="C93">
        <v>1.173E-3</v>
      </c>
      <c r="D93">
        <v>3.8337524314357189E-3</v>
      </c>
      <c r="E93" s="18"/>
      <c r="F93" s="18"/>
      <c r="G93" s="18">
        <f t="shared" si="22"/>
        <v>0</v>
      </c>
      <c r="H93" s="18">
        <f t="shared" si="23"/>
        <v>0</v>
      </c>
      <c r="I93" s="18"/>
      <c r="J93" s="18"/>
      <c r="K93" s="18">
        <f t="shared" si="24"/>
        <v>0</v>
      </c>
      <c r="L93" s="18">
        <f t="shared" si="25"/>
        <v>0</v>
      </c>
      <c r="M93" s="18"/>
      <c r="N93" s="18"/>
      <c r="O93" s="18">
        <f t="shared" si="26"/>
        <v>0</v>
      </c>
      <c r="P93" s="18">
        <f t="shared" si="27"/>
        <v>0</v>
      </c>
      <c r="Q93" s="18"/>
      <c r="R93" s="18"/>
      <c r="S93" s="18">
        <f t="shared" si="28"/>
        <v>0</v>
      </c>
      <c r="T93" s="18">
        <f t="shared" si="29"/>
        <v>0</v>
      </c>
      <c r="U93" s="18"/>
      <c r="V93" s="18"/>
      <c r="W93" s="18">
        <f t="shared" si="30"/>
        <v>0</v>
      </c>
      <c r="X93" s="18">
        <f t="shared" si="31"/>
        <v>0</v>
      </c>
      <c r="Y93" s="18"/>
      <c r="Z93" s="18"/>
      <c r="AA93" s="18">
        <f t="shared" si="32"/>
        <v>0</v>
      </c>
      <c r="AB93" s="18">
        <f t="shared" si="33"/>
        <v>0</v>
      </c>
      <c r="AC93" s="18"/>
      <c r="AD93" s="18"/>
      <c r="AE93" s="18">
        <f t="shared" si="34"/>
        <v>0</v>
      </c>
      <c r="AF93" s="18">
        <f t="shared" si="35"/>
        <v>0</v>
      </c>
      <c r="AG93" s="18"/>
      <c r="AH93" s="18"/>
      <c r="AI93" s="18">
        <f t="shared" si="36"/>
        <v>0</v>
      </c>
      <c r="AJ93" s="18">
        <f t="shared" si="37"/>
        <v>0</v>
      </c>
      <c r="AK93" s="18"/>
      <c r="AL93" s="18"/>
      <c r="AM93" s="18">
        <f t="shared" si="38"/>
        <v>0</v>
      </c>
      <c r="AN93" s="18">
        <f t="shared" si="39"/>
        <v>0</v>
      </c>
      <c r="AP93">
        <f t="shared" si="40"/>
        <v>0</v>
      </c>
      <c r="AQ93">
        <f t="shared" si="41"/>
        <v>0</v>
      </c>
      <c r="AR93">
        <f t="shared" si="42"/>
        <v>0</v>
      </c>
    </row>
    <row r="94" spans="1:44" x14ac:dyDescent="0.3">
      <c r="A94" s="2" t="s">
        <v>191</v>
      </c>
      <c r="B94" s="2" t="s">
        <v>192</v>
      </c>
      <c r="C94">
        <v>1.5013E-2</v>
      </c>
      <c r="D94">
        <v>1.7984676093141718E-2</v>
      </c>
      <c r="E94" s="18"/>
      <c r="F94" s="18"/>
      <c r="G94" s="18">
        <f t="shared" si="22"/>
        <v>0</v>
      </c>
      <c r="H94" s="18">
        <f t="shared" si="23"/>
        <v>0</v>
      </c>
      <c r="I94" s="18"/>
      <c r="J94" s="18"/>
      <c r="K94" s="18">
        <f t="shared" si="24"/>
        <v>0</v>
      </c>
      <c r="L94" s="18">
        <f t="shared" si="25"/>
        <v>0</v>
      </c>
      <c r="M94" s="18">
        <v>2.7295604042968882E-4</v>
      </c>
      <c r="N94" s="18"/>
      <c r="O94" s="18">
        <f t="shared" si="26"/>
        <v>6.8239010107422205E-5</v>
      </c>
      <c r="P94" s="18">
        <f t="shared" si="27"/>
        <v>1.5177145199394386E-2</v>
      </c>
      <c r="Q94" s="18">
        <v>1.490322970441928E-2</v>
      </c>
      <c r="R94" s="18"/>
      <c r="S94" s="18">
        <f t="shared" si="28"/>
        <v>4.4709689113257836E-3</v>
      </c>
      <c r="T94" s="18">
        <f t="shared" si="29"/>
        <v>0.82866266966589863</v>
      </c>
      <c r="U94" s="18">
        <v>1.9254685648236205E-2</v>
      </c>
      <c r="V94" s="18"/>
      <c r="W94" s="18">
        <f t="shared" si="30"/>
        <v>7.7018742592944826E-3</v>
      </c>
      <c r="X94" s="18">
        <f t="shared" si="31"/>
        <v>1.0706162039570339</v>
      </c>
      <c r="Y94" s="18"/>
      <c r="Z94" s="18"/>
      <c r="AA94" s="18">
        <f t="shared" si="32"/>
        <v>0</v>
      </c>
      <c r="AB94" s="18">
        <f t="shared" si="33"/>
        <v>0</v>
      </c>
      <c r="AC94" s="18"/>
      <c r="AD94" s="18"/>
      <c r="AE94" s="18">
        <f t="shared" si="34"/>
        <v>0</v>
      </c>
      <c r="AF94" s="18">
        <f t="shared" si="35"/>
        <v>0</v>
      </c>
      <c r="AG94" s="18">
        <v>1.4652449998302149E-2</v>
      </c>
      <c r="AH94" s="18"/>
      <c r="AI94" s="18">
        <f t="shared" si="36"/>
        <v>1.172195999864172E-2</v>
      </c>
      <c r="AJ94" s="18">
        <f t="shared" si="37"/>
        <v>0.81471859278520553</v>
      </c>
      <c r="AK94" s="18">
        <v>0.10860659535170508</v>
      </c>
      <c r="AL94" s="18"/>
      <c r="AM94" s="18">
        <f t="shared" si="38"/>
        <v>4.3442638140682034E-2</v>
      </c>
      <c r="AN94" s="18">
        <f t="shared" si="39"/>
        <v>6.0388407769612904</v>
      </c>
      <c r="AP94">
        <f t="shared" si="40"/>
        <v>0</v>
      </c>
      <c r="AQ94">
        <f t="shared" si="41"/>
        <v>0</v>
      </c>
      <c r="AR94">
        <f t="shared" si="42"/>
        <v>0</v>
      </c>
    </row>
    <row r="95" spans="1:44" x14ac:dyDescent="0.3">
      <c r="A95" s="2" t="s">
        <v>193</v>
      </c>
      <c r="B95" s="2" t="s">
        <v>194</v>
      </c>
      <c r="C95">
        <v>3.2691999999999999E-2</v>
      </c>
      <c r="D95">
        <v>4.4169596629936372E-2</v>
      </c>
      <c r="E95" s="18">
        <v>0.12225152377792139</v>
      </c>
      <c r="F95" s="18"/>
      <c r="G95" s="18">
        <f t="shared" si="22"/>
        <v>7.3350914266752831E-2</v>
      </c>
      <c r="H95" s="18">
        <f t="shared" si="23"/>
        <v>2.7677754180590419</v>
      </c>
      <c r="I95" s="18"/>
      <c r="J95" s="18"/>
      <c r="K95" s="18">
        <f t="shared" si="24"/>
        <v>0</v>
      </c>
      <c r="L95" s="18">
        <f t="shared" si="25"/>
        <v>0</v>
      </c>
      <c r="M95" s="18"/>
      <c r="N95" s="18"/>
      <c r="O95" s="18">
        <f t="shared" si="26"/>
        <v>0</v>
      </c>
      <c r="P95" s="18">
        <f t="shared" si="27"/>
        <v>0</v>
      </c>
      <c r="Q95" s="18"/>
      <c r="R95" s="18"/>
      <c r="S95" s="18">
        <f t="shared" si="28"/>
        <v>0</v>
      </c>
      <c r="T95" s="18">
        <f t="shared" si="29"/>
        <v>0</v>
      </c>
      <c r="U95" s="18"/>
      <c r="V95" s="18"/>
      <c r="W95" s="18">
        <f t="shared" si="30"/>
        <v>0</v>
      </c>
      <c r="X95" s="18">
        <f t="shared" si="31"/>
        <v>0</v>
      </c>
      <c r="Y95" s="18"/>
      <c r="Z95" s="18"/>
      <c r="AA95" s="18">
        <f t="shared" si="32"/>
        <v>0</v>
      </c>
      <c r="AB95" s="18">
        <f t="shared" si="33"/>
        <v>0</v>
      </c>
      <c r="AC95" s="18"/>
      <c r="AD95" s="18"/>
      <c r="AE95" s="18">
        <f t="shared" si="34"/>
        <v>0</v>
      </c>
      <c r="AF95" s="18">
        <f t="shared" si="35"/>
        <v>0</v>
      </c>
      <c r="AG95" s="18"/>
      <c r="AH95" s="18"/>
      <c r="AI95" s="18">
        <f t="shared" si="36"/>
        <v>0</v>
      </c>
      <c r="AJ95" s="18">
        <f t="shared" si="37"/>
        <v>0</v>
      </c>
      <c r="AK95" s="18"/>
      <c r="AL95" s="18"/>
      <c r="AM95" s="18">
        <f t="shared" si="38"/>
        <v>0</v>
      </c>
      <c r="AN95" s="18">
        <f t="shared" si="39"/>
        <v>0</v>
      </c>
      <c r="AP95">
        <f t="shared" si="40"/>
        <v>7.3350914266752831E-2</v>
      </c>
      <c r="AQ95">
        <f t="shared" si="41"/>
        <v>3.6675457133376416E-2</v>
      </c>
      <c r="AR95">
        <f t="shared" si="42"/>
        <v>3.6675457133376416E-2</v>
      </c>
    </row>
    <row r="96" spans="1:44" x14ac:dyDescent="0.3">
      <c r="A96" s="2" t="s">
        <v>195</v>
      </c>
      <c r="B96" s="2" t="s">
        <v>196</v>
      </c>
      <c r="C96">
        <v>4.9399999999999997E-4</v>
      </c>
      <c r="D96">
        <v>6.0890193634315201E-4</v>
      </c>
      <c r="E96" s="18"/>
      <c r="F96" s="18"/>
      <c r="G96" s="18">
        <f t="shared" si="22"/>
        <v>0</v>
      </c>
      <c r="H96" s="18">
        <f t="shared" si="23"/>
        <v>0</v>
      </c>
      <c r="I96" s="18"/>
      <c r="J96" s="18"/>
      <c r="K96" s="18">
        <f t="shared" si="24"/>
        <v>0</v>
      </c>
      <c r="L96" s="18">
        <f t="shared" si="25"/>
        <v>0</v>
      </c>
      <c r="M96" s="18">
        <v>6.0890193634315201E-4</v>
      </c>
      <c r="N96" s="18"/>
      <c r="O96" s="18">
        <f t="shared" si="26"/>
        <v>1.52225484085788E-4</v>
      </c>
      <c r="P96" s="18">
        <f t="shared" si="27"/>
        <v>1</v>
      </c>
      <c r="Q96" s="18"/>
      <c r="R96" s="18"/>
      <c r="S96" s="18">
        <f t="shared" si="28"/>
        <v>0</v>
      </c>
      <c r="T96" s="18">
        <f t="shared" si="29"/>
        <v>0</v>
      </c>
      <c r="U96" s="18"/>
      <c r="V96" s="18"/>
      <c r="W96" s="18">
        <f t="shared" si="30"/>
        <v>0</v>
      </c>
      <c r="X96" s="18">
        <f t="shared" si="31"/>
        <v>0</v>
      </c>
      <c r="Y96" s="18"/>
      <c r="Z96" s="18"/>
      <c r="AA96" s="18">
        <f t="shared" si="32"/>
        <v>0</v>
      </c>
      <c r="AB96" s="18">
        <f t="shared" si="33"/>
        <v>0</v>
      </c>
      <c r="AC96" s="18"/>
      <c r="AD96" s="18"/>
      <c r="AE96" s="18">
        <f t="shared" si="34"/>
        <v>0</v>
      </c>
      <c r="AF96" s="18">
        <f t="shared" si="35"/>
        <v>0</v>
      </c>
      <c r="AG96" s="18"/>
      <c r="AH96" s="18"/>
      <c r="AI96" s="18">
        <f t="shared" si="36"/>
        <v>0</v>
      </c>
      <c r="AJ96" s="18">
        <f t="shared" si="37"/>
        <v>0</v>
      </c>
      <c r="AK96" s="18"/>
      <c r="AL96" s="18"/>
      <c r="AM96" s="18">
        <f t="shared" si="38"/>
        <v>0</v>
      </c>
      <c r="AN96" s="18">
        <f t="shared" si="39"/>
        <v>0</v>
      </c>
      <c r="AP96">
        <f t="shared" si="40"/>
        <v>0</v>
      </c>
      <c r="AQ96">
        <f t="shared" si="41"/>
        <v>0</v>
      </c>
      <c r="AR96">
        <f t="shared" si="42"/>
        <v>0</v>
      </c>
    </row>
    <row r="97" spans="1:44" x14ac:dyDescent="0.3">
      <c r="A97" s="2" t="s">
        <v>197</v>
      </c>
      <c r="B97" s="2" t="s">
        <v>198</v>
      </c>
      <c r="C97">
        <v>0.22248699999999999</v>
      </c>
      <c r="D97">
        <v>0.25995989518462276</v>
      </c>
      <c r="E97" s="18"/>
      <c r="F97" s="18"/>
      <c r="G97" s="18">
        <f t="shared" si="22"/>
        <v>0</v>
      </c>
      <c r="H97" s="18">
        <f t="shared" si="23"/>
        <v>0</v>
      </c>
      <c r="I97" s="18"/>
      <c r="J97" s="18"/>
      <c r="K97" s="18">
        <f t="shared" si="24"/>
        <v>0</v>
      </c>
      <c r="L97" s="18">
        <f t="shared" si="25"/>
        <v>0</v>
      </c>
      <c r="M97" s="18"/>
      <c r="N97" s="18"/>
      <c r="O97" s="18">
        <f t="shared" si="26"/>
        <v>0</v>
      </c>
      <c r="P97" s="18">
        <f t="shared" si="27"/>
        <v>0</v>
      </c>
      <c r="Q97" s="18"/>
      <c r="R97" s="18"/>
      <c r="S97" s="18">
        <f t="shared" si="28"/>
        <v>0</v>
      </c>
      <c r="T97" s="18">
        <f t="shared" si="29"/>
        <v>0</v>
      </c>
      <c r="U97" s="18"/>
      <c r="V97" s="18"/>
      <c r="W97" s="18">
        <f t="shared" si="30"/>
        <v>0</v>
      </c>
      <c r="X97" s="18">
        <f t="shared" si="31"/>
        <v>0</v>
      </c>
      <c r="Y97" s="18"/>
      <c r="Z97" s="18"/>
      <c r="AA97" s="18">
        <f t="shared" si="32"/>
        <v>0</v>
      </c>
      <c r="AB97" s="18">
        <f t="shared" si="33"/>
        <v>0</v>
      </c>
      <c r="AC97" s="18"/>
      <c r="AD97" s="18"/>
      <c r="AE97" s="18">
        <f t="shared" si="34"/>
        <v>0</v>
      </c>
      <c r="AF97" s="18">
        <f t="shared" si="35"/>
        <v>0</v>
      </c>
      <c r="AG97" s="18"/>
      <c r="AH97" s="18"/>
      <c r="AI97" s="18">
        <f t="shared" si="36"/>
        <v>0</v>
      </c>
      <c r="AJ97" s="18">
        <f t="shared" si="37"/>
        <v>0</v>
      </c>
      <c r="AK97" s="18"/>
      <c r="AL97" s="18"/>
      <c r="AM97" s="18">
        <f t="shared" si="38"/>
        <v>0</v>
      </c>
      <c r="AN97" s="18">
        <f t="shared" si="39"/>
        <v>0</v>
      </c>
      <c r="AP97">
        <f t="shared" si="40"/>
        <v>0</v>
      </c>
      <c r="AQ97">
        <f t="shared" si="41"/>
        <v>0</v>
      </c>
      <c r="AR97">
        <f t="shared" si="42"/>
        <v>0</v>
      </c>
    </row>
    <row r="98" spans="1:44" x14ac:dyDescent="0.3">
      <c r="A98" s="2" t="s">
        <v>199</v>
      </c>
      <c r="B98" s="2" t="s">
        <v>200</v>
      </c>
      <c r="C98">
        <v>3.4169999999999999E-3</v>
      </c>
      <c r="D98">
        <v>1.2120297917726694E-2</v>
      </c>
      <c r="E98" s="18"/>
      <c r="F98" s="18"/>
      <c r="G98" s="18">
        <f t="shared" si="22"/>
        <v>0</v>
      </c>
      <c r="H98" s="18">
        <f t="shared" si="23"/>
        <v>0</v>
      </c>
      <c r="I98" s="18"/>
      <c r="J98" s="18"/>
      <c r="K98" s="18">
        <f t="shared" si="24"/>
        <v>0</v>
      </c>
      <c r="L98" s="18">
        <f t="shared" si="25"/>
        <v>0</v>
      </c>
      <c r="M98" s="18">
        <v>3.4504443059445275E-3</v>
      </c>
      <c r="N98" s="18"/>
      <c r="O98" s="18">
        <f t="shared" si="26"/>
        <v>8.6261107648613188E-4</v>
      </c>
      <c r="P98" s="18">
        <f t="shared" si="27"/>
        <v>0.28468312655071265</v>
      </c>
      <c r="Q98" s="18"/>
      <c r="R98" s="18"/>
      <c r="S98" s="18">
        <f t="shared" si="28"/>
        <v>0</v>
      </c>
      <c r="T98" s="18">
        <f t="shared" si="29"/>
        <v>0</v>
      </c>
      <c r="U98" s="18">
        <v>1.3577772250427961E-2</v>
      </c>
      <c r="V98" s="18"/>
      <c r="W98" s="18">
        <f t="shared" si="30"/>
        <v>5.4311089001711846E-3</v>
      </c>
      <c r="X98" s="18">
        <f t="shared" si="31"/>
        <v>1.1202507019707511</v>
      </c>
      <c r="Y98" s="18"/>
      <c r="Z98" s="18"/>
      <c r="AA98" s="18">
        <f t="shared" si="32"/>
        <v>0</v>
      </c>
      <c r="AB98" s="18">
        <f t="shared" si="33"/>
        <v>0</v>
      </c>
      <c r="AC98" s="18"/>
      <c r="AD98" s="18"/>
      <c r="AE98" s="18">
        <f t="shared" si="34"/>
        <v>0</v>
      </c>
      <c r="AF98" s="18">
        <f t="shared" si="35"/>
        <v>0</v>
      </c>
      <c r="AG98" s="18">
        <v>5.8151380352473763E-3</v>
      </c>
      <c r="AH98" s="18"/>
      <c r="AI98" s="18">
        <f t="shared" si="36"/>
        <v>4.6521104281979008E-3</v>
      </c>
      <c r="AJ98" s="18">
        <f t="shared" si="37"/>
        <v>0.4797850741558401</v>
      </c>
      <c r="AK98" s="18"/>
      <c r="AL98" s="18"/>
      <c r="AM98" s="18">
        <f t="shared" si="38"/>
        <v>0</v>
      </c>
      <c r="AN98" s="18">
        <f t="shared" si="39"/>
        <v>0</v>
      </c>
      <c r="AP98">
        <f t="shared" si="40"/>
        <v>0</v>
      </c>
      <c r="AQ98">
        <f t="shared" si="41"/>
        <v>0</v>
      </c>
      <c r="AR98">
        <f t="shared" si="42"/>
        <v>0</v>
      </c>
    </row>
    <row r="99" spans="1:44" x14ac:dyDescent="0.3">
      <c r="A99" s="2" t="s">
        <v>201</v>
      </c>
      <c r="B99" s="2" t="s">
        <v>202</v>
      </c>
      <c r="C99">
        <v>7.4999999999999993E-5</v>
      </c>
      <c r="D99">
        <v>7.4921992655923127E-5</v>
      </c>
      <c r="E99" s="18"/>
      <c r="F99" s="18"/>
      <c r="G99" s="18">
        <f t="shared" si="22"/>
        <v>0</v>
      </c>
      <c r="H99" s="18">
        <f t="shared" si="23"/>
        <v>0</v>
      </c>
      <c r="I99" s="18"/>
      <c r="J99" s="18"/>
      <c r="K99" s="18">
        <f t="shared" si="24"/>
        <v>0</v>
      </c>
      <c r="L99" s="18">
        <f t="shared" si="25"/>
        <v>0</v>
      </c>
      <c r="M99" s="18"/>
      <c r="N99" s="18"/>
      <c r="O99" s="18">
        <f t="shared" si="26"/>
        <v>0</v>
      </c>
      <c r="P99" s="18">
        <f t="shared" si="27"/>
        <v>0</v>
      </c>
      <c r="Q99" s="18"/>
      <c r="R99" s="18"/>
      <c r="S99" s="18">
        <f t="shared" si="28"/>
        <v>0</v>
      </c>
      <c r="T99" s="18">
        <f t="shared" si="29"/>
        <v>0</v>
      </c>
      <c r="U99" s="18"/>
      <c r="V99" s="18"/>
      <c r="W99" s="18">
        <f t="shared" si="30"/>
        <v>0</v>
      </c>
      <c r="X99" s="18">
        <f t="shared" si="31"/>
        <v>0</v>
      </c>
      <c r="Y99" s="18"/>
      <c r="Z99" s="18"/>
      <c r="AA99" s="18">
        <f t="shared" si="32"/>
        <v>0</v>
      </c>
      <c r="AB99" s="18">
        <f t="shared" si="33"/>
        <v>0</v>
      </c>
      <c r="AC99" s="18"/>
      <c r="AD99" s="18"/>
      <c r="AE99" s="18">
        <f t="shared" si="34"/>
        <v>0</v>
      </c>
      <c r="AF99" s="18">
        <f t="shared" si="35"/>
        <v>0</v>
      </c>
      <c r="AG99" s="18"/>
      <c r="AH99" s="18"/>
      <c r="AI99" s="18">
        <f t="shared" si="36"/>
        <v>0</v>
      </c>
      <c r="AJ99" s="18">
        <f t="shared" si="37"/>
        <v>0</v>
      </c>
      <c r="AK99" s="18"/>
      <c r="AL99" s="18"/>
      <c r="AM99" s="18">
        <f t="shared" si="38"/>
        <v>0</v>
      </c>
      <c r="AN99" s="18">
        <f t="shared" si="39"/>
        <v>0</v>
      </c>
      <c r="AP99">
        <f t="shared" si="40"/>
        <v>0</v>
      </c>
      <c r="AQ99">
        <f t="shared" si="41"/>
        <v>0</v>
      </c>
      <c r="AR99">
        <f t="shared" si="42"/>
        <v>0</v>
      </c>
    </row>
    <row r="100" spans="1:44" x14ac:dyDescent="0.3">
      <c r="A100" s="2" t="s">
        <v>203</v>
      </c>
      <c r="B100" s="2" t="s">
        <v>204</v>
      </c>
      <c r="C100">
        <v>6.306E-3</v>
      </c>
      <c r="D100">
        <v>1.2828146714948564E-2</v>
      </c>
      <c r="E100" s="18"/>
      <c r="F100" s="18"/>
      <c r="G100" s="18">
        <f t="shared" si="22"/>
        <v>0</v>
      </c>
      <c r="H100" s="18">
        <f t="shared" si="23"/>
        <v>0</v>
      </c>
      <c r="I100" s="18"/>
      <c r="J100" s="18"/>
      <c r="K100" s="18">
        <f t="shared" si="24"/>
        <v>0</v>
      </c>
      <c r="L100" s="18">
        <f t="shared" si="25"/>
        <v>0</v>
      </c>
      <c r="M100" s="18">
        <v>6.9778762130358919E-3</v>
      </c>
      <c r="N100" s="18"/>
      <c r="O100" s="18">
        <f t="shared" si="26"/>
        <v>1.744469053258973E-3</v>
      </c>
      <c r="P100" s="18">
        <f t="shared" si="27"/>
        <v>0.54395045271072662</v>
      </c>
      <c r="Q100" s="18"/>
      <c r="R100" s="18"/>
      <c r="S100" s="18">
        <f t="shared" si="28"/>
        <v>0</v>
      </c>
      <c r="T100" s="18">
        <f t="shared" si="29"/>
        <v>0</v>
      </c>
      <c r="U100" s="18"/>
      <c r="V100" s="18"/>
      <c r="W100" s="18">
        <f t="shared" si="30"/>
        <v>0</v>
      </c>
      <c r="X100" s="18">
        <f t="shared" si="31"/>
        <v>0</v>
      </c>
      <c r="Y100" s="18"/>
      <c r="Z100" s="18"/>
      <c r="AA100" s="18">
        <f t="shared" si="32"/>
        <v>0</v>
      </c>
      <c r="AB100" s="18">
        <f t="shared" si="33"/>
        <v>0</v>
      </c>
      <c r="AC100" s="18"/>
      <c r="AD100" s="18"/>
      <c r="AE100" s="18">
        <f t="shared" si="34"/>
        <v>0</v>
      </c>
      <c r="AF100" s="18">
        <f t="shared" si="35"/>
        <v>0</v>
      </c>
      <c r="AG100" s="18"/>
      <c r="AH100" s="18"/>
      <c r="AI100" s="18">
        <f t="shared" si="36"/>
        <v>0</v>
      </c>
      <c r="AJ100" s="18">
        <f t="shared" si="37"/>
        <v>0</v>
      </c>
      <c r="AK100" s="18"/>
      <c r="AL100" s="18"/>
      <c r="AM100" s="18">
        <f t="shared" si="38"/>
        <v>0</v>
      </c>
      <c r="AN100" s="18">
        <f t="shared" si="39"/>
        <v>0</v>
      </c>
      <c r="AP100">
        <f t="shared" si="40"/>
        <v>0</v>
      </c>
      <c r="AQ100">
        <f t="shared" si="41"/>
        <v>0</v>
      </c>
      <c r="AR100">
        <f t="shared" si="42"/>
        <v>0</v>
      </c>
    </row>
    <row r="101" spans="1:44" x14ac:dyDescent="0.3">
      <c r="A101" s="2" t="s">
        <v>205</v>
      </c>
      <c r="B101" s="2" t="s">
        <v>206</v>
      </c>
      <c r="C101">
        <v>1.003E-3</v>
      </c>
      <c r="D101">
        <v>2.2050625656432569E-2</v>
      </c>
      <c r="E101" s="18"/>
      <c r="F101" s="18"/>
      <c r="G101" s="18">
        <f t="shared" si="22"/>
        <v>0</v>
      </c>
      <c r="H101" s="18">
        <f t="shared" si="23"/>
        <v>0</v>
      </c>
      <c r="I101" s="18"/>
      <c r="J101" s="18"/>
      <c r="K101" s="18">
        <f t="shared" si="24"/>
        <v>0</v>
      </c>
      <c r="L101" s="18">
        <f t="shared" si="25"/>
        <v>0</v>
      </c>
      <c r="M101" s="18">
        <v>3.8633778030048261E-3</v>
      </c>
      <c r="N101" s="18"/>
      <c r="O101" s="18">
        <f t="shared" si="26"/>
        <v>9.6584445075120653E-4</v>
      </c>
      <c r="P101" s="18">
        <f t="shared" si="27"/>
        <v>0.17520490634594799</v>
      </c>
      <c r="Q101" s="18"/>
      <c r="R101" s="18"/>
      <c r="S101" s="18">
        <f t="shared" si="28"/>
        <v>0</v>
      </c>
      <c r="T101" s="18">
        <f t="shared" si="29"/>
        <v>0</v>
      </c>
      <c r="U101" s="18"/>
      <c r="V101" s="18"/>
      <c r="W101" s="18">
        <f t="shared" si="30"/>
        <v>0</v>
      </c>
      <c r="X101" s="18">
        <f t="shared" si="31"/>
        <v>0</v>
      </c>
      <c r="Y101" s="18"/>
      <c r="Z101" s="18"/>
      <c r="AA101" s="18">
        <f t="shared" si="32"/>
        <v>0</v>
      </c>
      <c r="AB101" s="18">
        <f t="shared" si="33"/>
        <v>0</v>
      </c>
      <c r="AC101" s="18"/>
      <c r="AD101" s="18"/>
      <c r="AE101" s="18">
        <f t="shared" si="34"/>
        <v>0</v>
      </c>
      <c r="AF101" s="18">
        <f t="shared" si="35"/>
        <v>0</v>
      </c>
      <c r="AG101" s="18"/>
      <c r="AH101" s="18"/>
      <c r="AI101" s="18">
        <f t="shared" si="36"/>
        <v>0</v>
      </c>
      <c r="AJ101" s="18">
        <f t="shared" si="37"/>
        <v>0</v>
      </c>
      <c r="AK101" s="18"/>
      <c r="AL101" s="18"/>
      <c r="AM101" s="18">
        <f t="shared" si="38"/>
        <v>0</v>
      </c>
      <c r="AN101" s="18">
        <f t="shared" si="39"/>
        <v>0</v>
      </c>
      <c r="AP101">
        <f t="shared" si="40"/>
        <v>0</v>
      </c>
      <c r="AQ101">
        <f t="shared" si="41"/>
        <v>0</v>
      </c>
      <c r="AR101">
        <f t="shared" si="42"/>
        <v>0</v>
      </c>
    </row>
    <row r="102" spans="1:44" x14ac:dyDescent="0.3">
      <c r="A102" s="2" t="s">
        <v>207</v>
      </c>
      <c r="B102" s="2" t="s">
        <v>208</v>
      </c>
      <c r="C102">
        <v>1.1429999999999999E-3</v>
      </c>
      <c r="D102">
        <v>3.6030428055612677E-3</v>
      </c>
      <c r="E102" s="18"/>
      <c r="F102" s="18"/>
      <c r="G102" s="18">
        <f t="shared" si="22"/>
        <v>0</v>
      </c>
      <c r="H102" s="18">
        <f t="shared" si="23"/>
        <v>0</v>
      </c>
      <c r="I102" s="18"/>
      <c r="J102" s="18"/>
      <c r="K102" s="18">
        <f t="shared" si="24"/>
        <v>0</v>
      </c>
      <c r="L102" s="18">
        <f t="shared" si="25"/>
        <v>0</v>
      </c>
      <c r="M102" s="18"/>
      <c r="N102" s="18"/>
      <c r="O102" s="18">
        <f t="shared" si="26"/>
        <v>0</v>
      </c>
      <c r="P102" s="18">
        <f t="shared" si="27"/>
        <v>0</v>
      </c>
      <c r="Q102" s="18"/>
      <c r="R102" s="18"/>
      <c r="S102" s="18">
        <f t="shared" si="28"/>
        <v>0</v>
      </c>
      <c r="T102" s="18">
        <f t="shared" si="29"/>
        <v>0</v>
      </c>
      <c r="U102" s="18"/>
      <c r="V102" s="18"/>
      <c r="W102" s="18">
        <f t="shared" si="30"/>
        <v>0</v>
      </c>
      <c r="X102" s="18">
        <f t="shared" si="31"/>
        <v>0</v>
      </c>
      <c r="Y102" s="18"/>
      <c r="Z102" s="18"/>
      <c r="AA102" s="18">
        <f t="shared" si="32"/>
        <v>0</v>
      </c>
      <c r="AB102" s="18">
        <f t="shared" si="33"/>
        <v>0</v>
      </c>
      <c r="AC102" s="18"/>
      <c r="AD102" s="18"/>
      <c r="AE102" s="18">
        <f t="shared" si="34"/>
        <v>0</v>
      </c>
      <c r="AF102" s="18">
        <f t="shared" si="35"/>
        <v>0</v>
      </c>
      <c r="AG102" s="18"/>
      <c r="AH102" s="18"/>
      <c r="AI102" s="18">
        <f t="shared" si="36"/>
        <v>0</v>
      </c>
      <c r="AJ102" s="18">
        <f t="shared" si="37"/>
        <v>0</v>
      </c>
      <c r="AK102" s="18"/>
      <c r="AL102" s="18"/>
      <c r="AM102" s="18">
        <f t="shared" si="38"/>
        <v>0</v>
      </c>
      <c r="AN102" s="18">
        <f t="shared" si="39"/>
        <v>0</v>
      </c>
      <c r="AP102">
        <f t="shared" si="40"/>
        <v>0</v>
      </c>
      <c r="AQ102">
        <f t="shared" si="41"/>
        <v>0</v>
      </c>
      <c r="AR102">
        <f t="shared" si="42"/>
        <v>0</v>
      </c>
    </row>
    <row r="103" spans="1:44" x14ac:dyDescent="0.3">
      <c r="A103" s="7" t="s">
        <v>209</v>
      </c>
      <c r="B103" s="6" t="s">
        <v>210</v>
      </c>
      <c r="C103" s="22">
        <v>2.4970000000000001E-3</v>
      </c>
      <c r="D103" s="22">
        <v>1.0788705512103721E-3</v>
      </c>
      <c r="E103" s="18"/>
      <c r="F103" s="18"/>
      <c r="G103" s="18">
        <f t="shared" si="22"/>
        <v>0</v>
      </c>
      <c r="H103" s="18">
        <f t="shared" si="23"/>
        <v>0</v>
      </c>
      <c r="I103" s="18"/>
      <c r="J103" s="18"/>
      <c r="K103" s="18">
        <f t="shared" si="24"/>
        <v>0</v>
      </c>
      <c r="L103" s="18">
        <f t="shared" si="25"/>
        <v>0</v>
      </c>
      <c r="M103" s="18"/>
      <c r="N103" s="18"/>
      <c r="O103" s="18">
        <f t="shared" si="26"/>
        <v>0</v>
      </c>
      <c r="P103" s="18">
        <f t="shared" si="27"/>
        <v>0</v>
      </c>
      <c r="Q103" s="18"/>
      <c r="R103" s="18"/>
      <c r="S103" s="18">
        <f t="shared" si="28"/>
        <v>0</v>
      </c>
      <c r="T103" s="18">
        <f t="shared" si="29"/>
        <v>0</v>
      </c>
      <c r="U103" s="18"/>
      <c r="V103" s="18"/>
      <c r="W103" s="18">
        <f t="shared" si="30"/>
        <v>0</v>
      </c>
      <c r="X103" s="18">
        <f t="shared" si="31"/>
        <v>0</v>
      </c>
      <c r="Y103" s="18"/>
      <c r="Z103" s="18"/>
      <c r="AA103" s="18">
        <f t="shared" si="32"/>
        <v>0</v>
      </c>
      <c r="AB103" s="18">
        <f t="shared" si="33"/>
        <v>0</v>
      </c>
      <c r="AC103" s="18"/>
      <c r="AD103" s="18"/>
      <c r="AE103" s="18">
        <f t="shared" si="34"/>
        <v>0</v>
      </c>
      <c r="AF103" s="18">
        <f t="shared" si="35"/>
        <v>0</v>
      </c>
      <c r="AG103" s="18"/>
      <c r="AH103" s="18"/>
      <c r="AI103" s="18">
        <f t="shared" si="36"/>
        <v>0</v>
      </c>
      <c r="AJ103" s="18">
        <f t="shared" si="37"/>
        <v>0</v>
      </c>
      <c r="AK103" s="18"/>
      <c r="AL103" s="18"/>
      <c r="AM103" s="18">
        <f t="shared" si="38"/>
        <v>0</v>
      </c>
      <c r="AN103" s="18">
        <f t="shared" si="39"/>
        <v>0</v>
      </c>
      <c r="AP103">
        <f t="shared" si="40"/>
        <v>0</v>
      </c>
      <c r="AQ103">
        <f t="shared" si="41"/>
        <v>0</v>
      </c>
      <c r="AR103">
        <f t="shared" si="42"/>
        <v>0</v>
      </c>
    </row>
    <row r="104" spans="1:44" x14ac:dyDescent="0.3">
      <c r="A104" s="7" t="s">
        <v>211</v>
      </c>
      <c r="B104" s="6" t="s">
        <v>212</v>
      </c>
      <c r="C104" s="22">
        <v>1.2719999999999999E-3</v>
      </c>
      <c r="D104" s="22">
        <v>1.4691966037987585E-3</v>
      </c>
      <c r="E104" s="18"/>
      <c r="F104" s="18"/>
      <c r="G104" s="18">
        <f t="shared" si="22"/>
        <v>0</v>
      </c>
      <c r="H104" s="18">
        <f t="shared" si="23"/>
        <v>0</v>
      </c>
      <c r="I104" s="18"/>
      <c r="J104" s="18"/>
      <c r="K104" s="18">
        <f t="shared" si="24"/>
        <v>0</v>
      </c>
      <c r="L104" s="18">
        <f t="shared" si="25"/>
        <v>0</v>
      </c>
      <c r="M104" s="18"/>
      <c r="N104" s="18"/>
      <c r="O104" s="18">
        <f t="shared" si="26"/>
        <v>0</v>
      </c>
      <c r="P104" s="18">
        <f t="shared" si="27"/>
        <v>0</v>
      </c>
      <c r="Q104" s="18"/>
      <c r="R104" s="18"/>
      <c r="S104" s="18">
        <f t="shared" si="28"/>
        <v>0</v>
      </c>
      <c r="T104" s="18">
        <f t="shared" si="29"/>
        <v>0</v>
      </c>
      <c r="U104" s="18"/>
      <c r="V104" s="18"/>
      <c r="W104" s="18">
        <f t="shared" si="30"/>
        <v>0</v>
      </c>
      <c r="X104" s="18">
        <f t="shared" si="31"/>
        <v>0</v>
      </c>
      <c r="Y104" s="18"/>
      <c r="Z104" s="18"/>
      <c r="AA104" s="18">
        <f t="shared" si="32"/>
        <v>0</v>
      </c>
      <c r="AB104" s="18">
        <f t="shared" si="33"/>
        <v>0</v>
      </c>
      <c r="AC104" s="18"/>
      <c r="AD104" s="18"/>
      <c r="AE104" s="18">
        <f t="shared" si="34"/>
        <v>0</v>
      </c>
      <c r="AF104" s="18">
        <f t="shared" si="35"/>
        <v>0</v>
      </c>
      <c r="AG104" s="18"/>
      <c r="AH104" s="18"/>
      <c r="AI104" s="18">
        <f t="shared" si="36"/>
        <v>0</v>
      </c>
      <c r="AJ104" s="18">
        <f t="shared" si="37"/>
        <v>0</v>
      </c>
      <c r="AK104" s="18"/>
      <c r="AL104" s="18"/>
      <c r="AM104" s="18">
        <f t="shared" si="38"/>
        <v>0</v>
      </c>
      <c r="AN104" s="18">
        <f t="shared" si="39"/>
        <v>0</v>
      </c>
      <c r="AP104">
        <f t="shared" si="40"/>
        <v>0</v>
      </c>
      <c r="AQ104">
        <f t="shared" si="41"/>
        <v>0</v>
      </c>
      <c r="AR104">
        <f t="shared" si="42"/>
        <v>0</v>
      </c>
    </row>
    <row r="105" spans="1:44" x14ac:dyDescent="0.3">
      <c r="A105" s="2" t="s">
        <v>213</v>
      </c>
      <c r="B105" s="2" t="s">
        <v>214</v>
      </c>
      <c r="C105">
        <v>1.0468E-2</v>
      </c>
      <c r="D105">
        <v>8.8404503355789549E-3</v>
      </c>
      <c r="E105" s="18"/>
      <c r="F105" s="18"/>
      <c r="G105" s="18">
        <f t="shared" si="22"/>
        <v>0</v>
      </c>
      <c r="H105" s="18">
        <f t="shared" si="23"/>
        <v>0</v>
      </c>
      <c r="I105" s="18"/>
      <c r="J105" s="18"/>
      <c r="K105" s="18">
        <f t="shared" si="24"/>
        <v>0</v>
      </c>
      <c r="L105" s="18">
        <f t="shared" si="25"/>
        <v>0</v>
      </c>
      <c r="M105" s="18"/>
      <c r="N105" s="18"/>
      <c r="O105" s="18">
        <f t="shared" si="26"/>
        <v>0</v>
      </c>
      <c r="P105" s="18">
        <f t="shared" si="27"/>
        <v>0</v>
      </c>
      <c r="Q105" s="18"/>
      <c r="R105" s="18"/>
      <c r="S105" s="18">
        <f t="shared" si="28"/>
        <v>0</v>
      </c>
      <c r="T105" s="18">
        <f t="shared" si="29"/>
        <v>0</v>
      </c>
      <c r="U105" s="18"/>
      <c r="V105" s="18"/>
      <c r="W105" s="18">
        <f t="shared" si="30"/>
        <v>0</v>
      </c>
      <c r="X105" s="18">
        <f t="shared" si="31"/>
        <v>0</v>
      </c>
      <c r="Y105" s="18"/>
      <c r="Z105" s="18"/>
      <c r="AA105" s="18">
        <f t="shared" si="32"/>
        <v>0</v>
      </c>
      <c r="AB105" s="18">
        <f t="shared" si="33"/>
        <v>0</v>
      </c>
      <c r="AC105" s="18"/>
      <c r="AD105" s="18"/>
      <c r="AE105" s="18">
        <f t="shared" si="34"/>
        <v>0</v>
      </c>
      <c r="AF105" s="18">
        <f t="shared" si="35"/>
        <v>0</v>
      </c>
      <c r="AG105" s="18"/>
      <c r="AH105" s="18"/>
      <c r="AI105" s="18">
        <f t="shared" si="36"/>
        <v>0</v>
      </c>
      <c r="AJ105" s="18">
        <f t="shared" si="37"/>
        <v>0</v>
      </c>
      <c r="AK105" s="18"/>
      <c r="AL105" s="18"/>
      <c r="AM105" s="18">
        <f t="shared" si="38"/>
        <v>0</v>
      </c>
      <c r="AN105" s="18">
        <f t="shared" si="39"/>
        <v>0</v>
      </c>
      <c r="AP105">
        <f t="shared" si="40"/>
        <v>0</v>
      </c>
      <c r="AQ105">
        <f t="shared" si="41"/>
        <v>0</v>
      </c>
      <c r="AR105">
        <f t="shared" si="42"/>
        <v>0</v>
      </c>
    </row>
    <row r="106" spans="1:44" x14ac:dyDescent="0.3">
      <c r="A106" s="2" t="s">
        <v>215</v>
      </c>
      <c r="B106" s="2" t="s">
        <v>216</v>
      </c>
      <c r="C106">
        <v>6.8180000000000003E-3</v>
      </c>
      <c r="D106">
        <v>7.1611241706809005E-3</v>
      </c>
      <c r="E106" s="18"/>
      <c r="F106" s="18"/>
      <c r="G106" s="18">
        <f t="shared" si="22"/>
        <v>0</v>
      </c>
      <c r="H106" s="18">
        <f t="shared" si="23"/>
        <v>0</v>
      </c>
      <c r="I106" s="18"/>
      <c r="J106" s="18"/>
      <c r="K106" s="18">
        <f t="shared" si="24"/>
        <v>0</v>
      </c>
      <c r="L106" s="18">
        <f t="shared" si="25"/>
        <v>0</v>
      </c>
      <c r="M106" s="18"/>
      <c r="N106" s="18"/>
      <c r="O106" s="18">
        <f t="shared" si="26"/>
        <v>0</v>
      </c>
      <c r="P106" s="18">
        <f t="shared" si="27"/>
        <v>0</v>
      </c>
      <c r="Q106" s="18"/>
      <c r="R106" s="18"/>
      <c r="S106" s="18">
        <f t="shared" si="28"/>
        <v>0</v>
      </c>
      <c r="T106" s="18">
        <f t="shared" si="29"/>
        <v>0</v>
      </c>
      <c r="U106" s="18"/>
      <c r="V106" s="18"/>
      <c r="W106" s="18">
        <f t="shared" si="30"/>
        <v>0</v>
      </c>
      <c r="X106" s="18">
        <f t="shared" si="31"/>
        <v>0</v>
      </c>
      <c r="Y106" s="18"/>
      <c r="Z106" s="18"/>
      <c r="AA106" s="18">
        <f t="shared" si="32"/>
        <v>0</v>
      </c>
      <c r="AB106" s="18">
        <f t="shared" si="33"/>
        <v>0</v>
      </c>
      <c r="AC106" s="18"/>
      <c r="AD106" s="18"/>
      <c r="AE106" s="18">
        <f t="shared" si="34"/>
        <v>0</v>
      </c>
      <c r="AF106" s="18">
        <f t="shared" si="35"/>
        <v>0</v>
      </c>
      <c r="AG106" s="18"/>
      <c r="AH106" s="18"/>
      <c r="AI106" s="18">
        <f t="shared" si="36"/>
        <v>0</v>
      </c>
      <c r="AJ106" s="18">
        <f t="shared" si="37"/>
        <v>0</v>
      </c>
      <c r="AK106" s="18"/>
      <c r="AL106" s="18"/>
      <c r="AM106" s="18">
        <f t="shared" si="38"/>
        <v>0</v>
      </c>
      <c r="AN106" s="18">
        <f t="shared" si="39"/>
        <v>0</v>
      </c>
      <c r="AP106">
        <f t="shared" si="40"/>
        <v>0</v>
      </c>
      <c r="AQ106">
        <f t="shared" si="41"/>
        <v>0</v>
      </c>
      <c r="AR106">
        <f t="shared" si="42"/>
        <v>0</v>
      </c>
    </row>
    <row r="107" spans="1:44" x14ac:dyDescent="0.3">
      <c r="A107" s="2" t="s">
        <v>217</v>
      </c>
      <c r="B107" s="2" t="s">
        <v>218</v>
      </c>
      <c r="C107">
        <v>8.5800000000000004E-4</v>
      </c>
      <c r="D107">
        <v>1.1438644382492794E-3</v>
      </c>
      <c r="E107" s="18"/>
      <c r="F107" s="18"/>
      <c r="G107" s="18">
        <f t="shared" si="22"/>
        <v>0</v>
      </c>
      <c r="H107" s="18">
        <f t="shared" si="23"/>
        <v>0</v>
      </c>
      <c r="I107" s="18"/>
      <c r="J107" s="18"/>
      <c r="K107" s="18">
        <f t="shared" si="24"/>
        <v>0</v>
      </c>
      <c r="L107" s="18">
        <f t="shared" si="25"/>
        <v>0</v>
      </c>
      <c r="M107" s="18"/>
      <c r="N107" s="18"/>
      <c r="O107" s="18">
        <f t="shared" si="26"/>
        <v>0</v>
      </c>
      <c r="P107" s="18">
        <f t="shared" si="27"/>
        <v>0</v>
      </c>
      <c r="Q107" s="18"/>
      <c r="R107" s="18"/>
      <c r="S107" s="18">
        <f t="shared" si="28"/>
        <v>0</v>
      </c>
      <c r="T107" s="18">
        <f t="shared" si="29"/>
        <v>0</v>
      </c>
      <c r="U107" s="18"/>
      <c r="V107" s="18"/>
      <c r="W107" s="18">
        <f t="shared" si="30"/>
        <v>0</v>
      </c>
      <c r="X107" s="18">
        <f t="shared" si="31"/>
        <v>0</v>
      </c>
      <c r="Y107" s="18"/>
      <c r="Z107" s="18"/>
      <c r="AA107" s="18">
        <f t="shared" si="32"/>
        <v>0</v>
      </c>
      <c r="AB107" s="18">
        <f t="shared" si="33"/>
        <v>0</v>
      </c>
      <c r="AC107" s="18"/>
      <c r="AD107" s="18"/>
      <c r="AE107" s="18">
        <f t="shared" si="34"/>
        <v>0</v>
      </c>
      <c r="AF107" s="18">
        <f t="shared" si="35"/>
        <v>0</v>
      </c>
      <c r="AG107" s="18"/>
      <c r="AH107" s="18"/>
      <c r="AI107" s="18">
        <f t="shared" si="36"/>
        <v>0</v>
      </c>
      <c r="AJ107" s="18">
        <f t="shared" si="37"/>
        <v>0</v>
      </c>
      <c r="AK107" s="18"/>
      <c r="AL107" s="18"/>
      <c r="AM107" s="18">
        <f t="shared" si="38"/>
        <v>0</v>
      </c>
      <c r="AN107" s="18">
        <f t="shared" si="39"/>
        <v>0</v>
      </c>
      <c r="AP107">
        <f t="shared" si="40"/>
        <v>0</v>
      </c>
      <c r="AQ107">
        <f t="shared" si="41"/>
        <v>0</v>
      </c>
      <c r="AR107">
        <f t="shared" si="42"/>
        <v>0</v>
      </c>
    </row>
    <row r="108" spans="1:44" x14ac:dyDescent="0.3">
      <c r="A108" s="2" t="s">
        <v>219</v>
      </c>
      <c r="B108" s="2" t="s">
        <v>220</v>
      </c>
      <c r="C108">
        <v>2.5790000000000001E-3</v>
      </c>
      <c r="D108">
        <v>2.5788651962650754E-3</v>
      </c>
      <c r="E108" s="18"/>
      <c r="F108" s="18"/>
      <c r="G108" s="18">
        <f t="shared" si="22"/>
        <v>0</v>
      </c>
      <c r="H108" s="18">
        <f t="shared" si="23"/>
        <v>0</v>
      </c>
      <c r="I108" s="18"/>
      <c r="J108" s="18"/>
      <c r="K108" s="18">
        <f t="shared" si="24"/>
        <v>0</v>
      </c>
      <c r="L108" s="18">
        <f t="shared" si="25"/>
        <v>0</v>
      </c>
      <c r="M108" s="18"/>
      <c r="N108" s="18"/>
      <c r="O108" s="18">
        <f t="shared" si="26"/>
        <v>0</v>
      </c>
      <c r="P108" s="18">
        <f t="shared" si="27"/>
        <v>0</v>
      </c>
      <c r="Q108" s="18"/>
      <c r="R108" s="18"/>
      <c r="S108" s="18">
        <f t="shared" si="28"/>
        <v>0</v>
      </c>
      <c r="T108" s="18">
        <f t="shared" si="29"/>
        <v>0</v>
      </c>
      <c r="U108" s="18"/>
      <c r="V108" s="18"/>
      <c r="W108" s="18">
        <f t="shared" si="30"/>
        <v>0</v>
      </c>
      <c r="X108" s="18">
        <f t="shared" si="31"/>
        <v>0</v>
      </c>
      <c r="Y108" s="18"/>
      <c r="Z108" s="18"/>
      <c r="AA108" s="18">
        <f t="shared" si="32"/>
        <v>0</v>
      </c>
      <c r="AB108" s="18">
        <f t="shared" si="33"/>
        <v>0</v>
      </c>
      <c r="AC108" s="18"/>
      <c r="AD108" s="18"/>
      <c r="AE108" s="18">
        <f t="shared" si="34"/>
        <v>0</v>
      </c>
      <c r="AF108" s="18">
        <f t="shared" si="35"/>
        <v>0</v>
      </c>
      <c r="AG108" s="18"/>
      <c r="AH108" s="18"/>
      <c r="AI108" s="18">
        <f t="shared" si="36"/>
        <v>0</v>
      </c>
      <c r="AJ108" s="18">
        <f t="shared" si="37"/>
        <v>0</v>
      </c>
      <c r="AK108" s="18"/>
      <c r="AL108" s="18"/>
      <c r="AM108" s="18">
        <f t="shared" si="38"/>
        <v>0</v>
      </c>
      <c r="AN108" s="18">
        <f t="shared" si="39"/>
        <v>0</v>
      </c>
      <c r="AP108">
        <f t="shared" si="40"/>
        <v>0</v>
      </c>
      <c r="AQ108">
        <f t="shared" si="41"/>
        <v>0</v>
      </c>
      <c r="AR108">
        <f t="shared" si="42"/>
        <v>0</v>
      </c>
    </row>
    <row r="109" spans="1:44" x14ac:dyDescent="0.3">
      <c r="A109" s="2" t="s">
        <v>221</v>
      </c>
      <c r="B109" s="2" t="s">
        <v>222</v>
      </c>
      <c r="C109">
        <v>7.3879999999999996E-3</v>
      </c>
      <c r="D109">
        <v>8.5879742533979571E-3</v>
      </c>
      <c r="E109" s="18"/>
      <c r="F109" s="18"/>
      <c r="G109" s="18">
        <f t="shared" si="22"/>
        <v>0</v>
      </c>
      <c r="H109" s="18">
        <f t="shared" si="23"/>
        <v>0</v>
      </c>
      <c r="I109" s="18"/>
      <c r="J109" s="18"/>
      <c r="K109" s="18">
        <f t="shared" si="24"/>
        <v>0</v>
      </c>
      <c r="L109" s="18">
        <f t="shared" si="25"/>
        <v>0</v>
      </c>
      <c r="M109" s="18"/>
      <c r="N109" s="18"/>
      <c r="O109" s="18">
        <f t="shared" si="26"/>
        <v>0</v>
      </c>
      <c r="P109" s="18">
        <f t="shared" si="27"/>
        <v>0</v>
      </c>
      <c r="Q109" s="18"/>
      <c r="R109" s="18"/>
      <c r="S109" s="18">
        <f t="shared" si="28"/>
        <v>0</v>
      </c>
      <c r="T109" s="18">
        <f t="shared" si="29"/>
        <v>0</v>
      </c>
      <c r="U109" s="18"/>
      <c r="V109" s="18"/>
      <c r="W109" s="18">
        <f t="shared" si="30"/>
        <v>0</v>
      </c>
      <c r="X109" s="18">
        <f t="shared" si="31"/>
        <v>0</v>
      </c>
      <c r="Y109" s="18"/>
      <c r="Z109" s="18"/>
      <c r="AA109" s="18">
        <f t="shared" si="32"/>
        <v>0</v>
      </c>
      <c r="AB109" s="18">
        <f t="shared" si="33"/>
        <v>0</v>
      </c>
      <c r="AC109" s="18"/>
      <c r="AD109" s="18"/>
      <c r="AE109" s="18">
        <f t="shared" si="34"/>
        <v>0</v>
      </c>
      <c r="AF109" s="18">
        <f t="shared" si="35"/>
        <v>0</v>
      </c>
      <c r="AG109" s="18"/>
      <c r="AH109" s="18"/>
      <c r="AI109" s="18">
        <f t="shared" si="36"/>
        <v>0</v>
      </c>
      <c r="AJ109" s="18">
        <f t="shared" si="37"/>
        <v>0</v>
      </c>
      <c r="AK109" s="18"/>
      <c r="AL109" s="18"/>
      <c r="AM109" s="18">
        <f t="shared" si="38"/>
        <v>0</v>
      </c>
      <c r="AN109" s="18">
        <f t="shared" si="39"/>
        <v>0</v>
      </c>
      <c r="AP109">
        <f t="shared" si="40"/>
        <v>0</v>
      </c>
      <c r="AQ109">
        <f t="shared" si="41"/>
        <v>0</v>
      </c>
      <c r="AR109">
        <f t="shared" si="42"/>
        <v>0</v>
      </c>
    </row>
    <row r="110" spans="1:44" x14ac:dyDescent="0.3">
      <c r="A110" s="2" t="s">
        <v>223</v>
      </c>
      <c r="B110" s="2" t="s">
        <v>224</v>
      </c>
      <c r="C110">
        <v>9.5134999999999997E-2</v>
      </c>
      <c r="D110">
        <v>0.1158739604295337</v>
      </c>
      <c r="E110" s="18">
        <v>1.7464503396845913E-2</v>
      </c>
      <c r="F110" s="18"/>
      <c r="G110" s="18">
        <f t="shared" si="22"/>
        <v>1.0478702038107548E-2</v>
      </c>
      <c r="H110" s="18">
        <f t="shared" si="23"/>
        <v>0.15071982809689655</v>
      </c>
      <c r="I110" s="18"/>
      <c r="J110" s="18"/>
      <c r="K110" s="18">
        <f t="shared" si="24"/>
        <v>0</v>
      </c>
      <c r="L110" s="18">
        <f t="shared" si="25"/>
        <v>0</v>
      </c>
      <c r="M110" s="18">
        <v>9.3415005513362084E-2</v>
      </c>
      <c r="N110" s="18"/>
      <c r="O110" s="18">
        <f t="shared" si="26"/>
        <v>2.3353751378340521E-2</v>
      </c>
      <c r="P110" s="18">
        <f t="shared" si="27"/>
        <v>0.80617772247605579</v>
      </c>
      <c r="Q110" s="18">
        <v>8.0557998402266379E-2</v>
      </c>
      <c r="R110" s="18"/>
      <c r="S110" s="18">
        <f t="shared" si="28"/>
        <v>2.4167399520679912E-2</v>
      </c>
      <c r="T110" s="18">
        <f t="shared" si="29"/>
        <v>0.69522089435491441</v>
      </c>
      <c r="U110" s="18"/>
      <c r="V110" s="18"/>
      <c r="W110" s="18">
        <f t="shared" si="30"/>
        <v>0</v>
      </c>
      <c r="X110" s="18">
        <f t="shared" si="31"/>
        <v>0</v>
      </c>
      <c r="Y110" s="18">
        <v>2.3699950238885874E-2</v>
      </c>
      <c r="Z110" s="18"/>
      <c r="AA110" s="18">
        <f t="shared" si="32"/>
        <v>1.1849975119442937E-2</v>
      </c>
      <c r="AB110" s="18">
        <f t="shared" si="33"/>
        <v>0.20453214985517387</v>
      </c>
      <c r="AC110" s="18">
        <v>0.13332783932376591</v>
      </c>
      <c r="AD110" s="18"/>
      <c r="AE110" s="18">
        <f t="shared" si="34"/>
        <v>6.6663919661882953E-2</v>
      </c>
      <c r="AF110" s="18">
        <f t="shared" si="35"/>
        <v>1.1506281379313552</v>
      </c>
      <c r="AG110" s="18">
        <v>1.5917348636626031E-2</v>
      </c>
      <c r="AH110" s="18"/>
      <c r="AI110" s="18">
        <f t="shared" si="36"/>
        <v>1.2733878909300826E-2</v>
      </c>
      <c r="AJ110" s="18">
        <f t="shared" si="37"/>
        <v>0.13736777941844691</v>
      </c>
      <c r="AK110" s="18">
        <v>0.26534433176338579</v>
      </c>
      <c r="AL110" s="18"/>
      <c r="AM110" s="18">
        <f t="shared" si="38"/>
        <v>0.10613773270535432</v>
      </c>
      <c r="AN110" s="18">
        <f t="shared" si="39"/>
        <v>2.2899392648683077</v>
      </c>
      <c r="AP110">
        <f t="shared" si="40"/>
        <v>1.0478702038107548E-2</v>
      </c>
      <c r="AQ110">
        <f t="shared" si="41"/>
        <v>5.2393510190537739E-3</v>
      </c>
      <c r="AR110">
        <f t="shared" si="42"/>
        <v>5.2393510190537739E-3</v>
      </c>
    </row>
    <row r="111" spans="1:44" x14ac:dyDescent="0.3">
      <c r="A111" s="2" t="s">
        <v>225</v>
      </c>
      <c r="B111" s="2" t="s">
        <v>226</v>
      </c>
      <c r="C111">
        <v>2.2690000000000002E-3</v>
      </c>
      <c r="D111">
        <v>2.8317500727319742E-3</v>
      </c>
      <c r="E111" s="18"/>
      <c r="F111" s="18"/>
      <c r="G111" s="18">
        <f t="shared" si="22"/>
        <v>0</v>
      </c>
      <c r="H111" s="18">
        <f t="shared" si="23"/>
        <v>0</v>
      </c>
      <c r="I111" s="18"/>
      <c r="J111" s="18"/>
      <c r="K111" s="18">
        <f t="shared" si="24"/>
        <v>0</v>
      </c>
      <c r="L111" s="18">
        <f t="shared" si="25"/>
        <v>0</v>
      </c>
      <c r="M111" s="18"/>
      <c r="N111" s="18"/>
      <c r="O111" s="18">
        <f t="shared" si="26"/>
        <v>0</v>
      </c>
      <c r="P111" s="18">
        <f t="shared" si="27"/>
        <v>0</v>
      </c>
      <c r="Q111" s="18"/>
      <c r="R111" s="18"/>
      <c r="S111" s="18">
        <f t="shared" si="28"/>
        <v>0</v>
      </c>
      <c r="T111" s="18">
        <f t="shared" si="29"/>
        <v>0</v>
      </c>
      <c r="U111" s="18"/>
      <c r="V111" s="18"/>
      <c r="W111" s="18">
        <f t="shared" si="30"/>
        <v>0</v>
      </c>
      <c r="X111" s="18">
        <f t="shared" si="31"/>
        <v>0</v>
      </c>
      <c r="Y111" s="18"/>
      <c r="Z111" s="18"/>
      <c r="AA111" s="18">
        <f t="shared" si="32"/>
        <v>0</v>
      </c>
      <c r="AB111" s="18">
        <f t="shared" si="33"/>
        <v>0</v>
      </c>
      <c r="AC111" s="18"/>
      <c r="AD111" s="18"/>
      <c r="AE111" s="18">
        <f t="shared" si="34"/>
        <v>0</v>
      </c>
      <c r="AF111" s="18">
        <f t="shared" si="35"/>
        <v>0</v>
      </c>
      <c r="AG111" s="18"/>
      <c r="AH111" s="18"/>
      <c r="AI111" s="18">
        <f t="shared" si="36"/>
        <v>0</v>
      </c>
      <c r="AJ111" s="18">
        <f t="shared" si="37"/>
        <v>0</v>
      </c>
      <c r="AK111" s="18"/>
      <c r="AL111" s="18"/>
      <c r="AM111" s="18">
        <f t="shared" si="38"/>
        <v>0</v>
      </c>
      <c r="AN111" s="18">
        <f t="shared" si="39"/>
        <v>0</v>
      </c>
      <c r="AP111">
        <f t="shared" si="40"/>
        <v>0</v>
      </c>
      <c r="AQ111">
        <f t="shared" si="41"/>
        <v>0</v>
      </c>
      <c r="AR111">
        <f t="shared" si="42"/>
        <v>0</v>
      </c>
    </row>
    <row r="112" spans="1:44" x14ac:dyDescent="0.3">
      <c r="A112" s="2" t="s">
        <v>227</v>
      </c>
      <c r="B112" s="2" t="s">
        <v>228</v>
      </c>
      <c r="C112">
        <v>4.9899999999999996E-3</v>
      </c>
      <c r="D112">
        <v>4.9901472276177184E-3</v>
      </c>
      <c r="E112" s="18"/>
      <c r="F112" s="18"/>
      <c r="G112" s="18">
        <f t="shared" si="22"/>
        <v>0</v>
      </c>
      <c r="H112" s="18">
        <f t="shared" si="23"/>
        <v>0</v>
      </c>
      <c r="I112" s="18"/>
      <c r="J112" s="18"/>
      <c r="K112" s="18">
        <f t="shared" si="24"/>
        <v>0</v>
      </c>
      <c r="L112" s="18">
        <f t="shared" si="25"/>
        <v>0</v>
      </c>
      <c r="M112" s="18"/>
      <c r="N112" s="18"/>
      <c r="O112" s="18">
        <f t="shared" si="26"/>
        <v>0</v>
      </c>
      <c r="P112" s="18">
        <f t="shared" si="27"/>
        <v>0</v>
      </c>
      <c r="Q112" s="18"/>
      <c r="R112" s="18"/>
      <c r="S112" s="18">
        <f t="shared" si="28"/>
        <v>0</v>
      </c>
      <c r="T112" s="18">
        <f t="shared" si="29"/>
        <v>0</v>
      </c>
      <c r="U112" s="18"/>
      <c r="V112" s="18"/>
      <c r="W112" s="18">
        <f t="shared" si="30"/>
        <v>0</v>
      </c>
      <c r="X112" s="18">
        <f t="shared" si="31"/>
        <v>0</v>
      </c>
      <c r="Y112" s="18"/>
      <c r="Z112" s="18"/>
      <c r="AA112" s="18">
        <f t="shared" si="32"/>
        <v>0</v>
      </c>
      <c r="AB112" s="18">
        <f t="shared" si="33"/>
        <v>0</v>
      </c>
      <c r="AC112" s="18"/>
      <c r="AD112" s="18"/>
      <c r="AE112" s="18">
        <f t="shared" si="34"/>
        <v>0</v>
      </c>
      <c r="AF112" s="18">
        <f t="shared" si="35"/>
        <v>0</v>
      </c>
      <c r="AG112" s="18"/>
      <c r="AH112" s="18"/>
      <c r="AI112" s="18">
        <f t="shared" si="36"/>
        <v>0</v>
      </c>
      <c r="AJ112" s="18">
        <f t="shared" si="37"/>
        <v>0</v>
      </c>
      <c r="AK112" s="18"/>
      <c r="AL112" s="18"/>
      <c r="AM112" s="18">
        <f t="shared" si="38"/>
        <v>0</v>
      </c>
      <c r="AN112" s="18">
        <f t="shared" si="39"/>
        <v>0</v>
      </c>
      <c r="AP112">
        <f t="shared" si="40"/>
        <v>0</v>
      </c>
      <c r="AQ112">
        <f t="shared" si="41"/>
        <v>0</v>
      </c>
      <c r="AR112">
        <f t="shared" si="42"/>
        <v>0</v>
      </c>
    </row>
    <row r="113" spans="1:44" x14ac:dyDescent="0.3">
      <c r="A113" s="2" t="s">
        <v>229</v>
      </c>
      <c r="B113" s="2" t="s">
        <v>230</v>
      </c>
      <c r="C113">
        <v>1.7489999999999999E-3</v>
      </c>
      <c r="D113">
        <v>1.7496813264231215E-3</v>
      </c>
      <c r="E113" s="18"/>
      <c r="F113" s="18"/>
      <c r="G113" s="18">
        <f t="shared" si="22"/>
        <v>0</v>
      </c>
      <c r="H113" s="18">
        <f t="shared" si="23"/>
        <v>0</v>
      </c>
      <c r="I113" s="18"/>
      <c r="J113" s="18"/>
      <c r="K113" s="18">
        <f t="shared" si="24"/>
        <v>0</v>
      </c>
      <c r="L113" s="18">
        <f t="shared" si="25"/>
        <v>0</v>
      </c>
      <c r="M113" s="18"/>
      <c r="N113" s="18"/>
      <c r="O113" s="18">
        <f t="shared" si="26"/>
        <v>0</v>
      </c>
      <c r="P113" s="18">
        <f t="shared" si="27"/>
        <v>0</v>
      </c>
      <c r="Q113" s="18"/>
      <c r="R113" s="18"/>
      <c r="S113" s="18">
        <f t="shared" si="28"/>
        <v>0</v>
      </c>
      <c r="T113" s="18">
        <f t="shared" si="29"/>
        <v>0</v>
      </c>
      <c r="U113" s="18"/>
      <c r="V113" s="18"/>
      <c r="W113" s="18">
        <f t="shared" si="30"/>
        <v>0</v>
      </c>
      <c r="X113" s="18">
        <f t="shared" si="31"/>
        <v>0</v>
      </c>
      <c r="Y113" s="18">
        <v>3.4279878621909857E-2</v>
      </c>
      <c r="Z113" s="18"/>
      <c r="AA113" s="18">
        <f t="shared" si="32"/>
        <v>1.7139939310954928E-2</v>
      </c>
      <c r="AB113" s="18">
        <f t="shared" si="33"/>
        <v>19.592069769635312</v>
      </c>
      <c r="AC113" s="18"/>
      <c r="AD113" s="18"/>
      <c r="AE113" s="18">
        <f t="shared" si="34"/>
        <v>0</v>
      </c>
      <c r="AF113" s="18">
        <f t="shared" si="35"/>
        <v>0</v>
      </c>
      <c r="AG113" s="18"/>
      <c r="AH113" s="18"/>
      <c r="AI113" s="18">
        <f t="shared" si="36"/>
        <v>0</v>
      </c>
      <c r="AJ113" s="18">
        <f t="shared" si="37"/>
        <v>0</v>
      </c>
      <c r="AK113" s="18"/>
      <c r="AL113" s="18"/>
      <c r="AM113" s="18">
        <f t="shared" si="38"/>
        <v>0</v>
      </c>
      <c r="AN113" s="18">
        <f t="shared" si="39"/>
        <v>0</v>
      </c>
      <c r="AP113">
        <f t="shared" si="40"/>
        <v>0</v>
      </c>
      <c r="AQ113">
        <f t="shared" si="41"/>
        <v>0</v>
      </c>
      <c r="AR113">
        <f t="shared" si="42"/>
        <v>0</v>
      </c>
    </row>
    <row r="114" spans="1:44" x14ac:dyDescent="0.3">
      <c r="A114" s="2" t="s">
        <v>231</v>
      </c>
      <c r="B114" s="2" t="s">
        <v>232</v>
      </c>
      <c r="C114">
        <v>3.8739000000000003E-2</v>
      </c>
      <c r="D114">
        <v>4.9463933829597032E-2</v>
      </c>
      <c r="E114" s="18">
        <v>9.995517444128145E-2</v>
      </c>
      <c r="F114" s="18"/>
      <c r="G114" s="18">
        <f t="shared" si="22"/>
        <v>5.9973104664768864E-2</v>
      </c>
      <c r="H114" s="18">
        <f t="shared" si="23"/>
        <v>2.0207688047138843</v>
      </c>
      <c r="I114" s="18">
        <v>7.2840909090909081E-2</v>
      </c>
      <c r="J114" s="18"/>
      <c r="K114" s="18">
        <f t="shared" si="24"/>
        <v>3.6420454545454541E-2</v>
      </c>
      <c r="L114" s="18">
        <f t="shared" si="25"/>
        <v>1.4726064720579159</v>
      </c>
      <c r="M114" s="18">
        <v>4.861417068781073E-2</v>
      </c>
      <c r="N114" s="18"/>
      <c r="O114" s="18">
        <f t="shared" si="26"/>
        <v>1.2153542671952683E-2</v>
      </c>
      <c r="P114" s="18">
        <f t="shared" si="27"/>
        <v>0.98282055073270702</v>
      </c>
      <c r="Q114" s="18">
        <v>3.088056605420211E-2</v>
      </c>
      <c r="R114" s="18"/>
      <c r="S114" s="18">
        <f t="shared" si="28"/>
        <v>9.2641698162606329E-3</v>
      </c>
      <c r="T114" s="18">
        <f t="shared" si="29"/>
        <v>0.624304693609398</v>
      </c>
      <c r="U114" s="18">
        <v>5.5130437327168713E-2</v>
      </c>
      <c r="V114" s="18"/>
      <c r="W114" s="18">
        <f t="shared" si="30"/>
        <v>2.2052174930867488E-2</v>
      </c>
      <c r="X114" s="18">
        <f t="shared" si="31"/>
        <v>1.1145582863888819</v>
      </c>
      <c r="Y114" s="18"/>
      <c r="Z114" s="18"/>
      <c r="AA114" s="18">
        <f t="shared" si="32"/>
        <v>0</v>
      </c>
      <c r="AB114" s="18">
        <f t="shared" si="33"/>
        <v>0</v>
      </c>
      <c r="AC114" s="18">
        <v>3.0409342955698658E-2</v>
      </c>
      <c r="AD114" s="18"/>
      <c r="AE114" s="18">
        <f t="shared" si="34"/>
        <v>1.5204671477849329E-2</v>
      </c>
      <c r="AF114" s="18">
        <f t="shared" si="35"/>
        <v>0.61477809388267968</v>
      </c>
      <c r="AG114" s="18">
        <v>7.6657951033990961E-3</v>
      </c>
      <c r="AH114" s="18"/>
      <c r="AI114" s="18">
        <f t="shared" si="36"/>
        <v>6.1326360827192771E-3</v>
      </c>
      <c r="AJ114" s="18">
        <f t="shared" si="37"/>
        <v>0.15497746559761535</v>
      </c>
      <c r="AK114" s="18"/>
      <c r="AL114" s="18"/>
      <c r="AM114" s="18">
        <f t="shared" si="38"/>
        <v>0</v>
      </c>
      <c r="AN114" s="18">
        <f t="shared" si="39"/>
        <v>0</v>
      </c>
      <c r="AP114">
        <f t="shared" si="40"/>
        <v>9.6393559210223412E-2</v>
      </c>
      <c r="AQ114">
        <f t="shared" si="41"/>
        <v>4.8196779605111706E-2</v>
      </c>
      <c r="AR114">
        <f t="shared" si="42"/>
        <v>4.8196779605111706E-2</v>
      </c>
    </row>
    <row r="115" spans="1:44" x14ac:dyDescent="0.3">
      <c r="A115" s="2" t="s">
        <v>233</v>
      </c>
      <c r="B115" s="2" t="s">
        <v>234</v>
      </c>
      <c r="C115">
        <v>5.8110000000000002E-3</v>
      </c>
      <c r="D115">
        <v>4.2209702432723116E-2</v>
      </c>
      <c r="E115" s="18"/>
      <c r="F115" s="18"/>
      <c r="G115" s="18">
        <f t="shared" si="22"/>
        <v>0</v>
      </c>
      <c r="H115" s="18">
        <f t="shared" si="23"/>
        <v>0</v>
      </c>
      <c r="I115" s="18"/>
      <c r="J115" s="18"/>
      <c r="K115" s="18">
        <f t="shared" si="24"/>
        <v>0</v>
      </c>
      <c r="L115" s="18">
        <f t="shared" si="25"/>
        <v>0</v>
      </c>
      <c r="M115" s="18">
        <v>1.609740751252011E-3</v>
      </c>
      <c r="N115" s="18"/>
      <c r="O115" s="18">
        <f t="shared" si="26"/>
        <v>4.0243518781300276E-4</v>
      </c>
      <c r="P115" s="18">
        <f t="shared" si="27"/>
        <v>3.8136747204454535E-2</v>
      </c>
      <c r="Q115" s="18"/>
      <c r="R115" s="18"/>
      <c r="S115" s="18">
        <f t="shared" si="28"/>
        <v>0</v>
      </c>
      <c r="T115" s="18">
        <f t="shared" si="29"/>
        <v>0</v>
      </c>
      <c r="U115" s="18"/>
      <c r="V115" s="18"/>
      <c r="W115" s="18">
        <f t="shared" si="30"/>
        <v>0</v>
      </c>
      <c r="X115" s="18">
        <f t="shared" si="31"/>
        <v>0</v>
      </c>
      <c r="Y115" s="18"/>
      <c r="Z115" s="18"/>
      <c r="AA115" s="18">
        <f t="shared" si="32"/>
        <v>0</v>
      </c>
      <c r="AB115" s="18">
        <f t="shared" si="33"/>
        <v>0</v>
      </c>
      <c r="AC115" s="18"/>
      <c r="AD115" s="18"/>
      <c r="AE115" s="18">
        <f t="shared" si="34"/>
        <v>0</v>
      </c>
      <c r="AF115" s="18">
        <f t="shared" si="35"/>
        <v>0</v>
      </c>
      <c r="AG115" s="18"/>
      <c r="AH115" s="18"/>
      <c r="AI115" s="18">
        <f t="shared" si="36"/>
        <v>0</v>
      </c>
      <c r="AJ115" s="18">
        <f t="shared" si="37"/>
        <v>0</v>
      </c>
      <c r="AK115" s="18"/>
      <c r="AL115" s="18"/>
      <c r="AM115" s="18">
        <f t="shared" si="38"/>
        <v>0</v>
      </c>
      <c r="AN115" s="18">
        <f t="shared" si="39"/>
        <v>0</v>
      </c>
      <c r="AP115">
        <f t="shared" si="40"/>
        <v>0</v>
      </c>
      <c r="AQ115">
        <f t="shared" si="41"/>
        <v>0</v>
      </c>
      <c r="AR115">
        <f t="shared" si="42"/>
        <v>0</v>
      </c>
    </row>
    <row r="116" spans="1:44" x14ac:dyDescent="0.3">
      <c r="A116" s="2" t="s">
        <v>235</v>
      </c>
      <c r="B116" s="2" t="s">
        <v>236</v>
      </c>
      <c r="C116">
        <v>3.0000000000000001E-6</v>
      </c>
      <c r="D116">
        <v>7.9030516843774068E-7</v>
      </c>
      <c r="E116" s="18"/>
      <c r="F116" s="18"/>
      <c r="G116" s="18">
        <f t="shared" si="22"/>
        <v>0</v>
      </c>
      <c r="H116" s="18">
        <f t="shared" si="23"/>
        <v>0</v>
      </c>
      <c r="I116" s="18"/>
      <c r="J116" s="18"/>
      <c r="K116" s="18">
        <f t="shared" si="24"/>
        <v>0</v>
      </c>
      <c r="L116" s="18">
        <f t="shared" si="25"/>
        <v>0</v>
      </c>
      <c r="M116" s="18"/>
      <c r="N116" s="18"/>
      <c r="O116" s="18">
        <f t="shared" si="26"/>
        <v>0</v>
      </c>
      <c r="P116" s="18">
        <f t="shared" si="27"/>
        <v>0</v>
      </c>
      <c r="Q116" s="18"/>
      <c r="R116" s="18"/>
      <c r="S116" s="18">
        <f t="shared" si="28"/>
        <v>0</v>
      </c>
      <c r="T116" s="18">
        <f t="shared" si="29"/>
        <v>0</v>
      </c>
      <c r="U116" s="18"/>
      <c r="V116" s="18"/>
      <c r="W116" s="18">
        <f t="shared" si="30"/>
        <v>0</v>
      </c>
      <c r="X116" s="18">
        <f t="shared" si="31"/>
        <v>0</v>
      </c>
      <c r="Y116" s="18"/>
      <c r="Z116" s="18"/>
      <c r="AA116" s="18">
        <f t="shared" si="32"/>
        <v>0</v>
      </c>
      <c r="AB116" s="18">
        <f t="shared" si="33"/>
        <v>0</v>
      </c>
      <c r="AC116" s="18"/>
      <c r="AD116" s="18"/>
      <c r="AE116" s="18">
        <f t="shared" si="34"/>
        <v>0</v>
      </c>
      <c r="AF116" s="18">
        <f t="shared" si="35"/>
        <v>0</v>
      </c>
      <c r="AG116" s="18"/>
      <c r="AH116" s="18"/>
      <c r="AI116" s="18">
        <f t="shared" si="36"/>
        <v>0</v>
      </c>
      <c r="AJ116" s="18">
        <f t="shared" si="37"/>
        <v>0</v>
      </c>
      <c r="AK116" s="18"/>
      <c r="AL116" s="18"/>
      <c r="AM116" s="18">
        <f t="shared" si="38"/>
        <v>0</v>
      </c>
      <c r="AN116" s="18">
        <f t="shared" si="39"/>
        <v>0</v>
      </c>
      <c r="AP116">
        <f t="shared" si="40"/>
        <v>0</v>
      </c>
      <c r="AQ116">
        <f t="shared" si="41"/>
        <v>0</v>
      </c>
      <c r="AR116">
        <f t="shared" si="42"/>
        <v>0</v>
      </c>
    </row>
    <row r="117" spans="1:44" x14ac:dyDescent="0.3">
      <c r="A117" s="2" t="s">
        <v>237</v>
      </c>
      <c r="B117" s="2" t="s">
        <v>238</v>
      </c>
      <c r="C117">
        <v>2.5599999999999999E-4</v>
      </c>
      <c r="D117">
        <v>6.6084571599576048E-4</v>
      </c>
      <c r="E117" s="18"/>
      <c r="F117" s="18"/>
      <c r="G117" s="18">
        <f t="shared" si="22"/>
        <v>0</v>
      </c>
      <c r="H117" s="18">
        <f t="shared" si="23"/>
        <v>0</v>
      </c>
      <c r="I117" s="18"/>
      <c r="J117" s="18"/>
      <c r="K117" s="18">
        <f t="shared" si="24"/>
        <v>0</v>
      </c>
      <c r="L117" s="18">
        <f t="shared" si="25"/>
        <v>0</v>
      </c>
      <c r="M117" s="18"/>
      <c r="N117" s="18"/>
      <c r="O117" s="18">
        <f t="shared" si="26"/>
        <v>0</v>
      </c>
      <c r="P117" s="18">
        <f t="shared" si="27"/>
        <v>0</v>
      </c>
      <c r="Q117" s="18"/>
      <c r="R117" s="18"/>
      <c r="S117" s="18">
        <f t="shared" si="28"/>
        <v>0</v>
      </c>
      <c r="T117" s="18">
        <f t="shared" si="29"/>
        <v>0</v>
      </c>
      <c r="U117" s="18"/>
      <c r="V117" s="18"/>
      <c r="W117" s="18">
        <f t="shared" si="30"/>
        <v>0</v>
      </c>
      <c r="X117" s="18">
        <f t="shared" si="31"/>
        <v>0</v>
      </c>
      <c r="Y117" s="18"/>
      <c r="Z117" s="18"/>
      <c r="AA117" s="18">
        <f t="shared" si="32"/>
        <v>0</v>
      </c>
      <c r="AB117" s="18">
        <f t="shared" si="33"/>
        <v>0</v>
      </c>
      <c r="AC117" s="18"/>
      <c r="AD117" s="18"/>
      <c r="AE117" s="18">
        <f t="shared" si="34"/>
        <v>0</v>
      </c>
      <c r="AF117" s="18">
        <f t="shared" si="35"/>
        <v>0</v>
      </c>
      <c r="AG117" s="18"/>
      <c r="AH117" s="18"/>
      <c r="AI117" s="18">
        <f t="shared" si="36"/>
        <v>0</v>
      </c>
      <c r="AJ117" s="18">
        <f t="shared" si="37"/>
        <v>0</v>
      </c>
      <c r="AK117" s="18"/>
      <c r="AL117" s="18"/>
      <c r="AM117" s="18">
        <f t="shared" si="38"/>
        <v>0</v>
      </c>
      <c r="AN117" s="18">
        <f t="shared" si="39"/>
        <v>0</v>
      </c>
      <c r="AP117">
        <f t="shared" si="40"/>
        <v>0</v>
      </c>
      <c r="AQ117">
        <f t="shared" si="41"/>
        <v>0</v>
      </c>
      <c r="AR117">
        <f t="shared" si="42"/>
        <v>0</v>
      </c>
    </row>
    <row r="118" spans="1:44" x14ac:dyDescent="0.3">
      <c r="A118" s="2" t="s">
        <v>239</v>
      </c>
      <c r="B118" s="2" t="s">
        <v>240</v>
      </c>
      <c r="C118">
        <v>1.27E-4</v>
      </c>
      <c r="D118">
        <v>1.2748326782109845E-4</v>
      </c>
      <c r="E118" s="18"/>
      <c r="F118" s="18"/>
      <c r="G118" s="18">
        <f t="shared" si="22"/>
        <v>0</v>
      </c>
      <c r="H118" s="18">
        <f t="shared" si="23"/>
        <v>0</v>
      </c>
      <c r="I118" s="18"/>
      <c r="J118" s="18"/>
      <c r="K118" s="18">
        <f t="shared" si="24"/>
        <v>0</v>
      </c>
      <c r="L118" s="18">
        <f t="shared" si="25"/>
        <v>0</v>
      </c>
      <c r="M118" s="18"/>
      <c r="N118" s="18"/>
      <c r="O118" s="18">
        <f t="shared" si="26"/>
        <v>0</v>
      </c>
      <c r="P118" s="18">
        <f t="shared" si="27"/>
        <v>0</v>
      </c>
      <c r="Q118" s="18"/>
      <c r="R118" s="18"/>
      <c r="S118" s="18">
        <f t="shared" si="28"/>
        <v>0</v>
      </c>
      <c r="T118" s="18">
        <f t="shared" si="29"/>
        <v>0</v>
      </c>
      <c r="U118" s="18"/>
      <c r="V118" s="18"/>
      <c r="W118" s="18">
        <f t="shared" si="30"/>
        <v>0</v>
      </c>
      <c r="X118" s="18">
        <f t="shared" si="31"/>
        <v>0</v>
      </c>
      <c r="Y118" s="18"/>
      <c r="Z118" s="18"/>
      <c r="AA118" s="18">
        <f t="shared" si="32"/>
        <v>0</v>
      </c>
      <c r="AB118" s="18">
        <f t="shared" si="33"/>
        <v>0</v>
      </c>
      <c r="AC118" s="18"/>
      <c r="AD118" s="18"/>
      <c r="AE118" s="18">
        <f t="shared" si="34"/>
        <v>0</v>
      </c>
      <c r="AF118" s="18">
        <f t="shared" si="35"/>
        <v>0</v>
      </c>
      <c r="AG118" s="18"/>
      <c r="AH118" s="18"/>
      <c r="AI118" s="18">
        <f t="shared" si="36"/>
        <v>0</v>
      </c>
      <c r="AJ118" s="18">
        <f t="shared" si="37"/>
        <v>0</v>
      </c>
      <c r="AK118" s="18"/>
      <c r="AL118" s="18"/>
      <c r="AM118" s="18">
        <f t="shared" si="38"/>
        <v>0</v>
      </c>
      <c r="AN118" s="18">
        <f t="shared" si="39"/>
        <v>0</v>
      </c>
      <c r="AP118">
        <f t="shared" si="40"/>
        <v>0</v>
      </c>
      <c r="AQ118">
        <f t="shared" si="41"/>
        <v>0</v>
      </c>
      <c r="AR118">
        <f t="shared" si="42"/>
        <v>0</v>
      </c>
    </row>
    <row r="119" spans="1:44" x14ac:dyDescent="0.3">
      <c r="A119" s="2" t="s">
        <v>241</v>
      </c>
      <c r="B119" s="2" t="s">
        <v>242</v>
      </c>
      <c r="C119">
        <v>1.8674E-2</v>
      </c>
      <c r="D119">
        <v>3.242968309479579E-2</v>
      </c>
      <c r="E119" s="18"/>
      <c r="F119" s="18"/>
      <c r="G119" s="18">
        <f t="shared" si="22"/>
        <v>0</v>
      </c>
      <c r="H119" s="18">
        <f t="shared" si="23"/>
        <v>0</v>
      </c>
      <c r="I119" s="18"/>
      <c r="J119" s="18"/>
      <c r="K119" s="18">
        <f t="shared" si="24"/>
        <v>0</v>
      </c>
      <c r="L119" s="18">
        <f t="shared" si="25"/>
        <v>0</v>
      </c>
      <c r="M119" s="18"/>
      <c r="N119" s="18"/>
      <c r="O119" s="18">
        <f t="shared" si="26"/>
        <v>0</v>
      </c>
      <c r="P119" s="18">
        <f t="shared" si="27"/>
        <v>0</v>
      </c>
      <c r="Q119" s="18"/>
      <c r="R119" s="18"/>
      <c r="S119" s="18">
        <f t="shared" si="28"/>
        <v>0</v>
      </c>
      <c r="T119" s="18">
        <f t="shared" si="29"/>
        <v>0</v>
      </c>
      <c r="U119" s="18"/>
      <c r="V119" s="18"/>
      <c r="W119" s="18">
        <f t="shared" si="30"/>
        <v>0</v>
      </c>
      <c r="X119" s="18">
        <f t="shared" si="31"/>
        <v>0</v>
      </c>
      <c r="Y119" s="18"/>
      <c r="Z119" s="18"/>
      <c r="AA119" s="18">
        <f t="shared" si="32"/>
        <v>0</v>
      </c>
      <c r="AB119" s="18">
        <f t="shared" si="33"/>
        <v>0</v>
      </c>
      <c r="AC119" s="18"/>
      <c r="AD119" s="18"/>
      <c r="AE119" s="18">
        <f t="shared" si="34"/>
        <v>0</v>
      </c>
      <c r="AF119" s="18">
        <f t="shared" si="35"/>
        <v>0</v>
      </c>
      <c r="AG119" s="18"/>
      <c r="AH119" s="18"/>
      <c r="AI119" s="18">
        <f t="shared" si="36"/>
        <v>0</v>
      </c>
      <c r="AJ119" s="18">
        <f t="shared" si="37"/>
        <v>0</v>
      </c>
      <c r="AK119" s="18">
        <v>4.7957617595840822E-3</v>
      </c>
      <c r="AL119" s="18"/>
      <c r="AM119" s="18">
        <f t="shared" si="38"/>
        <v>1.9183047038336329E-3</v>
      </c>
      <c r="AN119" s="18">
        <f t="shared" si="39"/>
        <v>0.14788185704946621</v>
      </c>
      <c r="AP119">
        <f t="shared" si="40"/>
        <v>0</v>
      </c>
      <c r="AQ119">
        <f t="shared" si="41"/>
        <v>0</v>
      </c>
      <c r="AR119">
        <f t="shared" si="42"/>
        <v>0</v>
      </c>
    </row>
    <row r="120" spans="1:44" x14ac:dyDescent="0.3">
      <c r="A120" s="2" t="s">
        <v>243</v>
      </c>
      <c r="B120" s="2" t="s">
        <v>244</v>
      </c>
      <c r="C120">
        <v>6.6799999999999997E-4</v>
      </c>
      <c r="D120">
        <v>1.0630130514380205E-3</v>
      </c>
      <c r="E120" s="18"/>
      <c r="F120" s="18"/>
      <c r="G120" s="18">
        <f t="shared" si="22"/>
        <v>0</v>
      </c>
      <c r="H120" s="18">
        <f t="shared" si="23"/>
        <v>0</v>
      </c>
      <c r="I120" s="18"/>
      <c r="J120" s="18"/>
      <c r="K120" s="18">
        <f t="shared" si="24"/>
        <v>0</v>
      </c>
      <c r="L120" s="18">
        <f t="shared" si="25"/>
        <v>0</v>
      </c>
      <c r="M120" s="18"/>
      <c r="N120" s="18"/>
      <c r="O120" s="18">
        <f t="shared" si="26"/>
        <v>0</v>
      </c>
      <c r="P120" s="18">
        <f t="shared" si="27"/>
        <v>0</v>
      </c>
      <c r="Q120" s="18"/>
      <c r="R120" s="18"/>
      <c r="S120" s="18">
        <f t="shared" si="28"/>
        <v>0</v>
      </c>
      <c r="T120" s="18">
        <f t="shared" si="29"/>
        <v>0</v>
      </c>
      <c r="U120" s="18"/>
      <c r="V120" s="18"/>
      <c r="W120" s="18">
        <f t="shared" si="30"/>
        <v>0</v>
      </c>
      <c r="X120" s="18">
        <f t="shared" si="31"/>
        <v>0</v>
      </c>
      <c r="Y120" s="18"/>
      <c r="Z120" s="18"/>
      <c r="AA120" s="18">
        <f t="shared" si="32"/>
        <v>0</v>
      </c>
      <c r="AB120" s="18">
        <f t="shared" si="33"/>
        <v>0</v>
      </c>
      <c r="AC120" s="18"/>
      <c r="AD120" s="18"/>
      <c r="AE120" s="18">
        <f t="shared" si="34"/>
        <v>0</v>
      </c>
      <c r="AF120" s="18">
        <f t="shared" si="35"/>
        <v>0</v>
      </c>
      <c r="AG120" s="18"/>
      <c r="AH120" s="18"/>
      <c r="AI120" s="18">
        <f t="shared" si="36"/>
        <v>0</v>
      </c>
      <c r="AJ120" s="18">
        <f t="shared" si="37"/>
        <v>0</v>
      </c>
      <c r="AK120" s="18"/>
      <c r="AL120" s="18"/>
      <c r="AM120" s="18">
        <f t="shared" si="38"/>
        <v>0</v>
      </c>
      <c r="AN120" s="18">
        <f t="shared" si="39"/>
        <v>0</v>
      </c>
      <c r="AP120">
        <f t="shared" si="40"/>
        <v>0</v>
      </c>
      <c r="AQ120">
        <f t="shared" si="41"/>
        <v>0</v>
      </c>
      <c r="AR120">
        <f t="shared" si="42"/>
        <v>0</v>
      </c>
    </row>
    <row r="121" spans="1:44" x14ac:dyDescent="0.3">
      <c r="A121" s="2" t="s">
        <v>245</v>
      </c>
      <c r="B121" s="2" t="s">
        <v>246</v>
      </c>
      <c r="C121">
        <v>4.1399999999999998E-4</v>
      </c>
      <c r="D121">
        <v>1.7969377808422504E-3</v>
      </c>
      <c r="E121" s="18"/>
      <c r="F121" s="18"/>
      <c r="G121" s="18">
        <f t="shared" si="22"/>
        <v>0</v>
      </c>
      <c r="H121" s="18">
        <f t="shared" si="23"/>
        <v>0</v>
      </c>
      <c r="I121" s="18"/>
      <c r="J121" s="18"/>
      <c r="K121" s="18">
        <f t="shared" si="24"/>
        <v>0</v>
      </c>
      <c r="L121" s="18">
        <f t="shared" si="25"/>
        <v>0</v>
      </c>
      <c r="M121" s="18"/>
      <c r="N121" s="18"/>
      <c r="O121" s="18">
        <f t="shared" si="26"/>
        <v>0</v>
      </c>
      <c r="P121" s="18">
        <f t="shared" si="27"/>
        <v>0</v>
      </c>
      <c r="Q121" s="18"/>
      <c r="R121" s="18"/>
      <c r="S121" s="18">
        <f t="shared" si="28"/>
        <v>0</v>
      </c>
      <c r="T121" s="18">
        <f t="shared" si="29"/>
        <v>0</v>
      </c>
      <c r="U121" s="18"/>
      <c r="V121" s="18"/>
      <c r="W121" s="18">
        <f t="shared" si="30"/>
        <v>0</v>
      </c>
      <c r="X121" s="18">
        <f t="shared" si="31"/>
        <v>0</v>
      </c>
      <c r="Y121" s="18">
        <v>1.6261802002803538E-3</v>
      </c>
      <c r="Z121" s="18"/>
      <c r="AA121" s="18">
        <f t="shared" si="32"/>
        <v>8.1309010014017689E-4</v>
      </c>
      <c r="AB121" s="18">
        <f t="shared" si="33"/>
        <v>0.90497301443466782</v>
      </c>
      <c r="AC121" s="18"/>
      <c r="AD121" s="18"/>
      <c r="AE121" s="18">
        <f t="shared" si="34"/>
        <v>0</v>
      </c>
      <c r="AF121" s="18">
        <f t="shared" si="35"/>
        <v>0</v>
      </c>
      <c r="AG121" s="18"/>
      <c r="AH121" s="18"/>
      <c r="AI121" s="18">
        <f t="shared" si="36"/>
        <v>0</v>
      </c>
      <c r="AJ121" s="18">
        <f t="shared" si="37"/>
        <v>0</v>
      </c>
      <c r="AK121" s="18"/>
      <c r="AL121" s="18"/>
      <c r="AM121" s="18">
        <f t="shared" si="38"/>
        <v>0</v>
      </c>
      <c r="AN121" s="18">
        <f t="shared" si="39"/>
        <v>0</v>
      </c>
      <c r="AP121">
        <f t="shared" si="40"/>
        <v>0</v>
      </c>
      <c r="AQ121">
        <f t="shared" si="41"/>
        <v>0</v>
      </c>
      <c r="AR121">
        <f t="shared" si="42"/>
        <v>0</v>
      </c>
    </row>
    <row r="122" spans="1:44" x14ac:dyDescent="0.3">
      <c r="A122" s="2" t="s">
        <v>247</v>
      </c>
      <c r="B122" s="2" t="s">
        <v>248</v>
      </c>
      <c r="C122">
        <v>2.3499999999999999E-4</v>
      </c>
      <c r="D122">
        <v>2.357965138271968E-4</v>
      </c>
      <c r="E122" s="18"/>
      <c r="F122" s="18"/>
      <c r="G122" s="18">
        <f t="shared" si="22"/>
        <v>0</v>
      </c>
      <c r="H122" s="18">
        <f t="shared" si="23"/>
        <v>0</v>
      </c>
      <c r="I122" s="18"/>
      <c r="J122" s="18"/>
      <c r="K122" s="18">
        <f t="shared" si="24"/>
        <v>0</v>
      </c>
      <c r="L122" s="18">
        <f t="shared" si="25"/>
        <v>0</v>
      </c>
      <c r="M122" s="18"/>
      <c r="N122" s="18"/>
      <c r="O122" s="18">
        <f t="shared" si="26"/>
        <v>0</v>
      </c>
      <c r="P122" s="18">
        <f t="shared" si="27"/>
        <v>0</v>
      </c>
      <c r="Q122" s="18"/>
      <c r="R122" s="18"/>
      <c r="S122" s="18">
        <f t="shared" si="28"/>
        <v>0</v>
      </c>
      <c r="T122" s="18">
        <f t="shared" si="29"/>
        <v>0</v>
      </c>
      <c r="U122" s="18"/>
      <c r="V122" s="18"/>
      <c r="W122" s="18">
        <f t="shared" si="30"/>
        <v>0</v>
      </c>
      <c r="X122" s="18">
        <f t="shared" si="31"/>
        <v>0</v>
      </c>
      <c r="Y122" s="18"/>
      <c r="Z122" s="18"/>
      <c r="AA122" s="18">
        <f t="shared" si="32"/>
        <v>0</v>
      </c>
      <c r="AB122" s="18">
        <f t="shared" si="33"/>
        <v>0</v>
      </c>
      <c r="AC122" s="18"/>
      <c r="AD122" s="18"/>
      <c r="AE122" s="18">
        <f t="shared" si="34"/>
        <v>0</v>
      </c>
      <c r="AF122" s="18">
        <f t="shared" si="35"/>
        <v>0</v>
      </c>
      <c r="AG122" s="18"/>
      <c r="AH122" s="18"/>
      <c r="AI122" s="18">
        <f t="shared" si="36"/>
        <v>0</v>
      </c>
      <c r="AJ122" s="18">
        <f t="shared" si="37"/>
        <v>0</v>
      </c>
      <c r="AK122" s="18"/>
      <c r="AL122" s="18"/>
      <c r="AM122" s="18">
        <f t="shared" si="38"/>
        <v>0</v>
      </c>
      <c r="AN122" s="18">
        <f t="shared" si="39"/>
        <v>0</v>
      </c>
      <c r="AP122">
        <f t="shared" si="40"/>
        <v>0</v>
      </c>
      <c r="AQ122">
        <f t="shared" si="41"/>
        <v>0</v>
      </c>
      <c r="AR122">
        <f t="shared" si="42"/>
        <v>0</v>
      </c>
    </row>
    <row r="123" spans="1:44" x14ac:dyDescent="0.3">
      <c r="A123" s="2" t="s">
        <v>249</v>
      </c>
      <c r="B123" s="2" t="s">
        <v>250</v>
      </c>
      <c r="C123">
        <v>1.5709999999999999E-3</v>
      </c>
      <c r="D123">
        <v>2.1496799269216027E-3</v>
      </c>
      <c r="E123" s="18"/>
      <c r="F123" s="18"/>
      <c r="G123" s="18">
        <f t="shared" si="22"/>
        <v>0</v>
      </c>
      <c r="H123" s="18">
        <f t="shared" si="23"/>
        <v>0</v>
      </c>
      <c r="I123" s="18">
        <v>7.7272727272727269E-4</v>
      </c>
      <c r="J123" s="18"/>
      <c r="K123" s="18">
        <f t="shared" si="24"/>
        <v>3.8636363636363635E-4</v>
      </c>
      <c r="L123" s="18">
        <f t="shared" si="25"/>
        <v>0.35946154729827068</v>
      </c>
      <c r="M123" s="18"/>
      <c r="N123" s="18"/>
      <c r="O123" s="18">
        <f t="shared" si="26"/>
        <v>0</v>
      </c>
      <c r="P123" s="18">
        <f t="shared" si="27"/>
        <v>0</v>
      </c>
      <c r="Q123" s="18"/>
      <c r="R123" s="18"/>
      <c r="S123" s="18">
        <f t="shared" si="28"/>
        <v>0</v>
      </c>
      <c r="T123" s="18">
        <f t="shared" si="29"/>
        <v>0</v>
      </c>
      <c r="U123" s="18"/>
      <c r="V123" s="18"/>
      <c r="W123" s="18">
        <f t="shared" si="30"/>
        <v>0</v>
      </c>
      <c r="X123" s="18">
        <f t="shared" si="31"/>
        <v>0</v>
      </c>
      <c r="Y123" s="18"/>
      <c r="Z123" s="18"/>
      <c r="AA123" s="18">
        <f t="shared" si="32"/>
        <v>0</v>
      </c>
      <c r="AB123" s="18">
        <f t="shared" si="33"/>
        <v>0</v>
      </c>
      <c r="AC123" s="18"/>
      <c r="AD123" s="18"/>
      <c r="AE123" s="18">
        <f t="shared" si="34"/>
        <v>0</v>
      </c>
      <c r="AF123" s="18">
        <f t="shared" si="35"/>
        <v>0</v>
      </c>
      <c r="AG123" s="18"/>
      <c r="AH123" s="18"/>
      <c r="AI123" s="18">
        <f t="shared" si="36"/>
        <v>0</v>
      </c>
      <c r="AJ123" s="18">
        <f t="shared" si="37"/>
        <v>0</v>
      </c>
      <c r="AK123" s="18"/>
      <c r="AL123" s="18"/>
      <c r="AM123" s="18">
        <f t="shared" si="38"/>
        <v>0</v>
      </c>
      <c r="AN123" s="18">
        <f t="shared" si="39"/>
        <v>0</v>
      </c>
      <c r="AP123">
        <f t="shared" si="40"/>
        <v>3.8636363636363635E-4</v>
      </c>
      <c r="AQ123">
        <f t="shared" si="41"/>
        <v>1.9318181818181817E-4</v>
      </c>
      <c r="AR123">
        <f t="shared" si="42"/>
        <v>1.9318181818181817E-4</v>
      </c>
    </row>
    <row r="124" spans="1:44" x14ac:dyDescent="0.3">
      <c r="A124" s="2" t="s">
        <v>251</v>
      </c>
      <c r="B124" s="2" t="s">
        <v>252</v>
      </c>
      <c r="C124">
        <v>1.4148000000000001E-2</v>
      </c>
      <c r="D124">
        <v>1.9791547309734769E-2</v>
      </c>
      <c r="E124" s="18"/>
      <c r="F124" s="18"/>
      <c r="G124" s="18">
        <f t="shared" si="22"/>
        <v>0</v>
      </c>
      <c r="H124" s="18">
        <f t="shared" si="23"/>
        <v>0</v>
      </c>
      <c r="I124" s="18"/>
      <c r="J124" s="18"/>
      <c r="K124" s="18">
        <f t="shared" si="24"/>
        <v>0</v>
      </c>
      <c r="L124" s="18">
        <f t="shared" si="25"/>
        <v>0</v>
      </c>
      <c r="M124" s="18">
        <v>3.1242968319952075E-2</v>
      </c>
      <c r="N124" s="18"/>
      <c r="O124" s="18">
        <f t="shared" si="26"/>
        <v>7.8107420799880187E-3</v>
      </c>
      <c r="P124" s="18">
        <f t="shared" si="27"/>
        <v>1.5786016035534904</v>
      </c>
      <c r="Q124" s="18">
        <v>2.9537932747497671E-2</v>
      </c>
      <c r="R124" s="18"/>
      <c r="S124" s="18">
        <f t="shared" si="28"/>
        <v>8.8613798242493016E-3</v>
      </c>
      <c r="T124" s="18">
        <f t="shared" si="29"/>
        <v>1.4924519182473923</v>
      </c>
      <c r="U124" s="18">
        <v>5.5071912446778934E-2</v>
      </c>
      <c r="V124" s="18"/>
      <c r="W124" s="18">
        <f t="shared" si="30"/>
        <v>2.2028764978711576E-2</v>
      </c>
      <c r="X124" s="18">
        <f t="shared" si="31"/>
        <v>2.7825976203331506</v>
      </c>
      <c r="Y124" s="18">
        <v>8.0251992883835457E-2</v>
      </c>
      <c r="Z124" s="18"/>
      <c r="AA124" s="18">
        <f t="shared" si="32"/>
        <v>4.0125996441917729E-2</v>
      </c>
      <c r="AB124" s="18">
        <f t="shared" si="33"/>
        <v>4.0548619887017283</v>
      </c>
      <c r="AC124" s="18">
        <v>1.6317208415252939E-2</v>
      </c>
      <c r="AD124" s="18"/>
      <c r="AE124" s="18">
        <f t="shared" si="34"/>
        <v>8.1586042076264697E-3</v>
      </c>
      <c r="AF124" s="18">
        <f t="shared" si="35"/>
        <v>0.82445339719482547</v>
      </c>
      <c r="AG124" s="18">
        <v>1.3217766307854255E-2</v>
      </c>
      <c r="AH124" s="18"/>
      <c r="AI124" s="18">
        <f t="shared" si="36"/>
        <v>1.0574213046283405E-2</v>
      </c>
      <c r="AJ124" s="18">
        <f t="shared" si="37"/>
        <v>0.66784906207676342</v>
      </c>
      <c r="AK124" s="18"/>
      <c r="AL124" s="18"/>
      <c r="AM124" s="18">
        <f t="shared" si="38"/>
        <v>0</v>
      </c>
      <c r="AN124" s="18">
        <f t="shared" si="39"/>
        <v>0</v>
      </c>
      <c r="AP124">
        <f t="shared" si="40"/>
        <v>0</v>
      </c>
      <c r="AQ124">
        <f t="shared" si="41"/>
        <v>0</v>
      </c>
      <c r="AR124">
        <f t="shared" si="42"/>
        <v>0</v>
      </c>
    </row>
    <row r="125" spans="1:44" x14ac:dyDescent="0.3">
      <c r="A125" s="11" t="s">
        <v>254</v>
      </c>
      <c r="B125" s="2" t="s">
        <v>253</v>
      </c>
      <c r="D125">
        <v>3.449385945089023E-2</v>
      </c>
      <c r="E125" s="18">
        <v>3.551115690692002E-2</v>
      </c>
      <c r="F125" s="18"/>
      <c r="G125" s="18">
        <f t="shared" si="22"/>
        <v>2.1306694144152011E-2</v>
      </c>
      <c r="H125" s="18">
        <f t="shared" si="23"/>
        <v>1.0294921319975268</v>
      </c>
      <c r="I125" s="18"/>
      <c r="J125" s="18"/>
      <c r="K125" s="18">
        <f t="shared" si="24"/>
        <v>0</v>
      </c>
      <c r="L125" s="18">
        <f t="shared" si="25"/>
        <v>0</v>
      </c>
      <c r="M125" s="18">
        <v>2.1689506904912968E-2</v>
      </c>
      <c r="N125" s="18"/>
      <c r="O125" s="18">
        <f t="shared" si="26"/>
        <v>5.4223767262282421E-3</v>
      </c>
      <c r="P125" s="18">
        <f t="shared" si="27"/>
        <v>0.62879327654804362</v>
      </c>
      <c r="Q125" s="18">
        <v>3.6251099281019869E-2</v>
      </c>
      <c r="R125" s="18"/>
      <c r="S125" s="18">
        <f t="shared" si="28"/>
        <v>1.087532978430596E-2</v>
      </c>
      <c r="T125" s="18">
        <f t="shared" si="29"/>
        <v>1.0509435551168598</v>
      </c>
      <c r="U125" s="18">
        <v>4.1684346057617741E-2</v>
      </c>
      <c r="V125" s="18"/>
      <c r="W125" s="18">
        <f t="shared" si="30"/>
        <v>1.6673738423047098E-2</v>
      </c>
      <c r="X125" s="18">
        <f t="shared" si="31"/>
        <v>1.2084570042666518</v>
      </c>
      <c r="Y125" s="18">
        <v>0.13529819266332541</v>
      </c>
      <c r="Z125" s="18"/>
      <c r="AA125" s="18">
        <f t="shared" si="32"/>
        <v>6.7649096331662703E-2</v>
      </c>
      <c r="AB125" s="18">
        <f t="shared" si="33"/>
        <v>3.9223848771098759</v>
      </c>
      <c r="AC125" s="18">
        <v>3.9309638454927534E-2</v>
      </c>
      <c r="AD125" s="18"/>
      <c r="AE125" s="18">
        <f t="shared" si="34"/>
        <v>1.9654819227463767E-2</v>
      </c>
      <c r="AF125" s="18">
        <f t="shared" si="35"/>
        <v>1.1396126464449028</v>
      </c>
      <c r="AG125" s="18">
        <v>2.4262283948521167E-2</v>
      </c>
      <c r="AH125" s="18"/>
      <c r="AI125" s="18">
        <f t="shared" si="36"/>
        <v>1.9409827158816936E-2</v>
      </c>
      <c r="AJ125" s="18">
        <f t="shared" si="37"/>
        <v>0.70337979961517461</v>
      </c>
      <c r="AK125" s="18"/>
      <c r="AL125" s="18"/>
      <c r="AM125" s="18">
        <f t="shared" si="38"/>
        <v>0</v>
      </c>
      <c r="AN125" s="18">
        <f t="shared" si="39"/>
        <v>0</v>
      </c>
      <c r="AP125">
        <f t="shared" si="40"/>
        <v>2.1306694144152011E-2</v>
      </c>
      <c r="AQ125">
        <f t="shared" si="41"/>
        <v>1.0653347072076005E-2</v>
      </c>
      <c r="AR125">
        <f t="shared" si="42"/>
        <v>1.0653347072076005E-2</v>
      </c>
    </row>
    <row r="126" spans="1:44" x14ac:dyDescent="0.3">
      <c r="A126" s="2" t="s">
        <v>254</v>
      </c>
      <c r="B126" s="2" t="s">
        <v>255</v>
      </c>
      <c r="C126">
        <v>2.3316E-2</v>
      </c>
      <c r="D126">
        <v>1.6923708087381858E-2</v>
      </c>
      <c r="E126" s="18"/>
      <c r="F126" s="18"/>
      <c r="G126" s="18">
        <f t="shared" si="22"/>
        <v>0</v>
      </c>
      <c r="H126" s="18">
        <f t="shared" si="23"/>
        <v>0</v>
      </c>
      <c r="I126" s="18">
        <v>0.10674999999999998</v>
      </c>
      <c r="J126" s="18"/>
      <c r="K126" s="18">
        <f t="shared" si="24"/>
        <v>5.3374999999999992E-2</v>
      </c>
      <c r="L126" s="18">
        <f t="shared" si="25"/>
        <v>6.3077192922981036</v>
      </c>
      <c r="M126" s="18"/>
      <c r="N126" s="18"/>
      <c r="O126" s="18">
        <f t="shared" si="26"/>
        <v>0</v>
      </c>
      <c r="P126" s="18">
        <f t="shared" si="27"/>
        <v>0</v>
      </c>
      <c r="Q126" s="18"/>
      <c r="R126" s="18"/>
      <c r="S126" s="18">
        <f t="shared" si="28"/>
        <v>0</v>
      </c>
      <c r="T126" s="18">
        <f t="shared" si="29"/>
        <v>0</v>
      </c>
      <c r="U126" s="18"/>
      <c r="V126" s="18"/>
      <c r="W126" s="18">
        <f t="shared" si="30"/>
        <v>0</v>
      </c>
      <c r="X126" s="18">
        <f t="shared" si="31"/>
        <v>0</v>
      </c>
      <c r="Y126" s="18"/>
      <c r="Z126" s="18"/>
      <c r="AA126" s="18">
        <f t="shared" si="32"/>
        <v>0</v>
      </c>
      <c r="AB126" s="18">
        <f t="shared" si="33"/>
        <v>0</v>
      </c>
      <c r="AC126" s="18"/>
      <c r="AD126" s="18"/>
      <c r="AE126" s="18">
        <f t="shared" si="34"/>
        <v>0</v>
      </c>
      <c r="AF126" s="18">
        <f t="shared" si="35"/>
        <v>0</v>
      </c>
      <c r="AG126" s="18"/>
      <c r="AH126" s="18"/>
      <c r="AI126" s="18">
        <f t="shared" si="36"/>
        <v>0</v>
      </c>
      <c r="AJ126" s="18">
        <f t="shared" si="37"/>
        <v>0</v>
      </c>
      <c r="AK126" s="18"/>
      <c r="AL126" s="18"/>
      <c r="AM126" s="18">
        <f t="shared" si="38"/>
        <v>0</v>
      </c>
      <c r="AN126" s="18">
        <f t="shared" si="39"/>
        <v>0</v>
      </c>
      <c r="AP126">
        <f t="shared" si="40"/>
        <v>5.3374999999999992E-2</v>
      </c>
      <c r="AQ126">
        <f t="shared" si="41"/>
        <v>2.6687499999999996E-2</v>
      </c>
      <c r="AR126">
        <f t="shared" si="42"/>
        <v>2.6687499999999996E-2</v>
      </c>
    </row>
    <row r="127" spans="1:44" x14ac:dyDescent="0.3">
      <c r="A127" s="2" t="s">
        <v>256</v>
      </c>
      <c r="B127" s="2" t="s">
        <v>257</v>
      </c>
      <c r="C127">
        <v>6.1600000000000001E-4</v>
      </c>
      <c r="D127">
        <v>1.2497971460529653E-3</v>
      </c>
      <c r="E127" s="18"/>
      <c r="F127" s="18"/>
      <c r="G127" s="18">
        <f t="shared" si="22"/>
        <v>0</v>
      </c>
      <c r="H127" s="18">
        <f t="shared" si="23"/>
        <v>0</v>
      </c>
      <c r="I127" s="18"/>
      <c r="J127" s="18"/>
      <c r="K127" s="18">
        <f t="shared" si="24"/>
        <v>0</v>
      </c>
      <c r="L127" s="18">
        <f t="shared" si="25"/>
        <v>0</v>
      </c>
      <c r="M127" s="18"/>
      <c r="N127" s="18"/>
      <c r="O127" s="18">
        <f t="shared" si="26"/>
        <v>0</v>
      </c>
      <c r="P127" s="18">
        <f t="shared" si="27"/>
        <v>0</v>
      </c>
      <c r="Q127" s="18"/>
      <c r="R127" s="18"/>
      <c r="S127" s="18">
        <f t="shared" si="28"/>
        <v>0</v>
      </c>
      <c r="T127" s="18">
        <f t="shared" si="29"/>
        <v>0</v>
      </c>
      <c r="U127" s="18"/>
      <c r="V127" s="18"/>
      <c r="W127" s="18">
        <f t="shared" si="30"/>
        <v>0</v>
      </c>
      <c r="X127" s="18">
        <f t="shared" si="31"/>
        <v>0</v>
      </c>
      <c r="Y127" s="18"/>
      <c r="Z127" s="18"/>
      <c r="AA127" s="18">
        <f t="shared" si="32"/>
        <v>0</v>
      </c>
      <c r="AB127" s="18">
        <f t="shared" si="33"/>
        <v>0</v>
      </c>
      <c r="AC127" s="18"/>
      <c r="AD127" s="18"/>
      <c r="AE127" s="18">
        <f t="shared" si="34"/>
        <v>0</v>
      </c>
      <c r="AF127" s="18">
        <f t="shared" si="35"/>
        <v>0</v>
      </c>
      <c r="AG127" s="18"/>
      <c r="AH127" s="18"/>
      <c r="AI127" s="18">
        <f t="shared" si="36"/>
        <v>0</v>
      </c>
      <c r="AJ127" s="18">
        <f t="shared" si="37"/>
        <v>0</v>
      </c>
      <c r="AK127" s="18"/>
      <c r="AL127" s="18"/>
      <c r="AM127" s="18">
        <f t="shared" si="38"/>
        <v>0</v>
      </c>
      <c r="AN127" s="18">
        <f t="shared" si="39"/>
        <v>0</v>
      </c>
      <c r="AP127">
        <f t="shared" si="40"/>
        <v>0</v>
      </c>
      <c r="AQ127">
        <f t="shared" si="41"/>
        <v>0</v>
      </c>
      <c r="AR127">
        <f t="shared" si="42"/>
        <v>0</v>
      </c>
    </row>
    <row r="128" spans="1:44" x14ac:dyDescent="0.3">
      <c r="A128" s="2" t="s">
        <v>258</v>
      </c>
      <c r="B128" s="2" t="s">
        <v>259</v>
      </c>
      <c r="C128">
        <v>8.6379999999999998E-3</v>
      </c>
      <c r="D128">
        <v>9.1676825123541521E-3</v>
      </c>
      <c r="E128" s="18"/>
      <c r="F128" s="18"/>
      <c r="G128" s="18">
        <f t="shared" si="22"/>
        <v>0</v>
      </c>
      <c r="H128" s="18">
        <f t="shared" si="23"/>
        <v>0</v>
      </c>
      <c r="I128" s="18"/>
      <c r="J128" s="18"/>
      <c r="K128" s="18">
        <f t="shared" si="24"/>
        <v>0</v>
      </c>
      <c r="L128" s="18">
        <f t="shared" si="25"/>
        <v>0</v>
      </c>
      <c r="M128" s="18">
        <v>2.1773493378891333E-2</v>
      </c>
      <c r="N128" s="18"/>
      <c r="O128" s="18">
        <f t="shared" si="26"/>
        <v>5.4433733447228332E-3</v>
      </c>
      <c r="P128" s="18">
        <f t="shared" si="27"/>
        <v>2.375026987414746</v>
      </c>
      <c r="Q128" s="18">
        <v>1.530601969643061E-2</v>
      </c>
      <c r="R128" s="18"/>
      <c r="S128" s="18">
        <f t="shared" si="28"/>
        <v>4.5918059089291828E-3</v>
      </c>
      <c r="T128" s="18">
        <f t="shared" si="29"/>
        <v>1.6695625831069716</v>
      </c>
      <c r="U128" s="18">
        <v>2.9847688998785606E-3</v>
      </c>
      <c r="V128" s="18"/>
      <c r="W128" s="18">
        <f t="shared" si="30"/>
        <v>1.1939075599514243E-3</v>
      </c>
      <c r="X128" s="18">
        <f t="shared" si="31"/>
        <v>0.3255750726376439</v>
      </c>
      <c r="Y128" s="18"/>
      <c r="Z128" s="18"/>
      <c r="AA128" s="18">
        <f t="shared" si="32"/>
        <v>0</v>
      </c>
      <c r="AB128" s="18">
        <f t="shared" si="33"/>
        <v>0</v>
      </c>
      <c r="AC128" s="18">
        <v>2.4110853415900448E-2</v>
      </c>
      <c r="AD128" s="18"/>
      <c r="AE128" s="18">
        <f t="shared" si="34"/>
        <v>1.2055426707950224E-2</v>
      </c>
      <c r="AF128" s="18">
        <f t="shared" si="35"/>
        <v>2.6299834645679789</v>
      </c>
      <c r="AG128" s="18"/>
      <c r="AH128" s="18"/>
      <c r="AI128" s="18">
        <f t="shared" si="36"/>
        <v>0</v>
      </c>
      <c r="AJ128" s="18">
        <f t="shared" si="37"/>
        <v>0</v>
      </c>
      <c r="AK128" s="18">
        <v>2.0777890527472016E-3</v>
      </c>
      <c r="AL128" s="18"/>
      <c r="AM128" s="18">
        <f t="shared" si="38"/>
        <v>8.3111562109888066E-4</v>
      </c>
      <c r="AN128" s="18">
        <f t="shared" si="39"/>
        <v>0.22664278021705292</v>
      </c>
      <c r="AP128">
        <f t="shared" si="40"/>
        <v>0</v>
      </c>
      <c r="AQ128">
        <f t="shared" si="41"/>
        <v>0</v>
      </c>
      <c r="AR128">
        <f t="shared" si="42"/>
        <v>0</v>
      </c>
    </row>
    <row r="129" spans="1:44" x14ac:dyDescent="0.3">
      <c r="A129" s="2" t="s">
        <v>260</v>
      </c>
      <c r="B129" s="2" t="s">
        <v>261</v>
      </c>
      <c r="C129">
        <v>1.1083000000000001E-2</v>
      </c>
      <c r="D129">
        <v>1.3707434351472342E-2</v>
      </c>
      <c r="E129" s="18"/>
      <c r="F129" s="18"/>
      <c r="G129" s="18">
        <f t="shared" si="22"/>
        <v>0</v>
      </c>
      <c r="H129" s="18">
        <f t="shared" si="23"/>
        <v>0</v>
      </c>
      <c r="I129" s="18"/>
      <c r="J129" s="18"/>
      <c r="K129" s="18">
        <f t="shared" si="24"/>
        <v>0</v>
      </c>
      <c r="L129" s="18">
        <f t="shared" si="25"/>
        <v>0</v>
      </c>
      <c r="M129" s="18"/>
      <c r="N129" s="18"/>
      <c r="O129" s="18">
        <f t="shared" si="26"/>
        <v>0</v>
      </c>
      <c r="P129" s="18">
        <f t="shared" si="27"/>
        <v>0</v>
      </c>
      <c r="Q129" s="18"/>
      <c r="R129" s="18"/>
      <c r="S129" s="18">
        <f t="shared" si="28"/>
        <v>0</v>
      </c>
      <c r="T129" s="18">
        <f t="shared" si="29"/>
        <v>0</v>
      </c>
      <c r="U129" s="18"/>
      <c r="V129" s="18"/>
      <c r="W129" s="18">
        <f t="shared" si="30"/>
        <v>0</v>
      </c>
      <c r="X129" s="18">
        <f t="shared" si="31"/>
        <v>0</v>
      </c>
      <c r="Y129" s="18"/>
      <c r="Z129" s="18"/>
      <c r="AA129" s="18">
        <f t="shared" si="32"/>
        <v>0</v>
      </c>
      <c r="AB129" s="18">
        <f t="shared" si="33"/>
        <v>0</v>
      </c>
      <c r="AC129" s="18"/>
      <c r="AD129" s="18"/>
      <c r="AE129" s="18">
        <f t="shared" si="34"/>
        <v>0</v>
      </c>
      <c r="AF129" s="18">
        <f t="shared" si="35"/>
        <v>0</v>
      </c>
      <c r="AG129" s="18"/>
      <c r="AH129" s="18"/>
      <c r="AI129" s="18">
        <f t="shared" si="36"/>
        <v>0</v>
      </c>
      <c r="AJ129" s="18">
        <f t="shared" si="37"/>
        <v>0</v>
      </c>
      <c r="AK129" s="18"/>
      <c r="AL129" s="18"/>
      <c r="AM129" s="18">
        <f t="shared" si="38"/>
        <v>0</v>
      </c>
      <c r="AN129" s="18">
        <f t="shared" si="39"/>
        <v>0</v>
      </c>
      <c r="AP129">
        <f t="shared" si="40"/>
        <v>0</v>
      </c>
      <c r="AQ129">
        <f t="shared" si="41"/>
        <v>0</v>
      </c>
      <c r="AR129">
        <f t="shared" si="42"/>
        <v>0</v>
      </c>
    </row>
    <row r="130" spans="1:44" x14ac:dyDescent="0.3">
      <c r="A130" s="2" t="s">
        <v>262</v>
      </c>
      <c r="B130" s="2" t="s">
        <v>263</v>
      </c>
      <c r="C130">
        <v>9.5379999999999996E-3</v>
      </c>
      <c r="D130">
        <v>9.8812610808896497E-3</v>
      </c>
      <c r="E130" s="18"/>
      <c r="F130" s="18"/>
      <c r="G130" s="18">
        <f t="shared" si="22"/>
        <v>0</v>
      </c>
      <c r="H130" s="18">
        <f t="shared" si="23"/>
        <v>0</v>
      </c>
      <c r="I130" s="18"/>
      <c r="J130" s="18"/>
      <c r="K130" s="18">
        <f t="shared" si="24"/>
        <v>0</v>
      </c>
      <c r="L130" s="18">
        <f t="shared" si="25"/>
        <v>0</v>
      </c>
      <c r="M130" s="18"/>
      <c r="N130" s="18"/>
      <c r="O130" s="18">
        <f t="shared" si="26"/>
        <v>0</v>
      </c>
      <c r="P130" s="18">
        <f t="shared" si="27"/>
        <v>0</v>
      </c>
      <c r="Q130" s="18"/>
      <c r="R130" s="18"/>
      <c r="S130" s="18">
        <f t="shared" si="28"/>
        <v>0</v>
      </c>
      <c r="T130" s="18">
        <f t="shared" si="29"/>
        <v>0</v>
      </c>
      <c r="U130" s="18"/>
      <c r="V130" s="18"/>
      <c r="W130" s="18">
        <f t="shared" si="30"/>
        <v>0</v>
      </c>
      <c r="X130" s="18">
        <f t="shared" si="31"/>
        <v>0</v>
      </c>
      <c r="Y130" s="18"/>
      <c r="Z130" s="18"/>
      <c r="AA130" s="18">
        <f t="shared" si="32"/>
        <v>0</v>
      </c>
      <c r="AB130" s="18">
        <f t="shared" si="33"/>
        <v>0</v>
      </c>
      <c r="AC130" s="18"/>
      <c r="AD130" s="18"/>
      <c r="AE130" s="18">
        <f t="shared" si="34"/>
        <v>0</v>
      </c>
      <c r="AF130" s="18">
        <f t="shared" si="35"/>
        <v>0</v>
      </c>
      <c r="AG130" s="18"/>
      <c r="AH130" s="18"/>
      <c r="AI130" s="18">
        <f t="shared" si="36"/>
        <v>0</v>
      </c>
      <c r="AJ130" s="18">
        <f t="shared" si="37"/>
        <v>0</v>
      </c>
      <c r="AK130" s="18"/>
      <c r="AL130" s="18"/>
      <c r="AM130" s="18">
        <f t="shared" si="38"/>
        <v>0</v>
      </c>
      <c r="AN130" s="18">
        <f t="shared" si="39"/>
        <v>0</v>
      </c>
      <c r="AP130">
        <f t="shared" si="40"/>
        <v>0</v>
      </c>
      <c r="AQ130">
        <f t="shared" si="41"/>
        <v>0</v>
      </c>
      <c r="AR130">
        <f t="shared" si="42"/>
        <v>0</v>
      </c>
    </row>
    <row r="131" spans="1:44" x14ac:dyDescent="0.3">
      <c r="A131" s="2" t="s">
        <v>264</v>
      </c>
      <c r="B131" s="2" t="s">
        <v>265</v>
      </c>
      <c r="C131">
        <v>4.0740000000000004E-3</v>
      </c>
      <c r="D131">
        <v>4.0960527650240365E-3</v>
      </c>
      <c r="E131" s="18"/>
      <c r="F131" s="18"/>
      <c r="G131" s="18">
        <f t="shared" si="22"/>
        <v>0</v>
      </c>
      <c r="H131" s="18">
        <f t="shared" si="23"/>
        <v>0</v>
      </c>
      <c r="I131" s="18"/>
      <c r="J131" s="18"/>
      <c r="K131" s="18">
        <f t="shared" si="24"/>
        <v>0</v>
      </c>
      <c r="L131" s="18">
        <f t="shared" si="25"/>
        <v>0</v>
      </c>
      <c r="M131" s="18"/>
      <c r="N131" s="18"/>
      <c r="O131" s="18">
        <f t="shared" si="26"/>
        <v>0</v>
      </c>
      <c r="P131" s="18">
        <f t="shared" si="27"/>
        <v>0</v>
      </c>
      <c r="Q131" s="18"/>
      <c r="R131" s="18"/>
      <c r="S131" s="18">
        <f t="shared" si="28"/>
        <v>0</v>
      </c>
      <c r="T131" s="18">
        <f t="shared" si="29"/>
        <v>0</v>
      </c>
      <c r="U131" s="18"/>
      <c r="V131" s="18"/>
      <c r="W131" s="18">
        <f t="shared" si="30"/>
        <v>0</v>
      </c>
      <c r="X131" s="18">
        <f t="shared" si="31"/>
        <v>0</v>
      </c>
      <c r="Y131" s="18"/>
      <c r="Z131" s="18"/>
      <c r="AA131" s="18">
        <f t="shared" si="32"/>
        <v>0</v>
      </c>
      <c r="AB131" s="18">
        <f t="shared" si="33"/>
        <v>0</v>
      </c>
      <c r="AC131" s="18"/>
      <c r="AD131" s="18"/>
      <c r="AE131" s="18">
        <f t="shared" si="34"/>
        <v>0</v>
      </c>
      <c r="AF131" s="18">
        <f t="shared" si="35"/>
        <v>0</v>
      </c>
      <c r="AG131" s="18"/>
      <c r="AH131" s="18"/>
      <c r="AI131" s="18">
        <f t="shared" si="36"/>
        <v>0</v>
      </c>
      <c r="AJ131" s="18">
        <f t="shared" si="37"/>
        <v>0</v>
      </c>
      <c r="AK131" s="18"/>
      <c r="AL131" s="18"/>
      <c r="AM131" s="18">
        <f t="shared" si="38"/>
        <v>0</v>
      </c>
      <c r="AN131" s="18">
        <f t="shared" si="39"/>
        <v>0</v>
      </c>
      <c r="AP131">
        <f t="shared" si="40"/>
        <v>0</v>
      </c>
      <c r="AQ131">
        <f t="shared" si="41"/>
        <v>0</v>
      </c>
      <c r="AR131">
        <f t="shared" si="42"/>
        <v>0</v>
      </c>
    </row>
    <row r="132" spans="1:44" x14ac:dyDescent="0.3">
      <c r="A132" s="2" t="s">
        <v>266</v>
      </c>
      <c r="B132" s="2" t="s">
        <v>267</v>
      </c>
      <c r="C132">
        <v>1.0317E-2</v>
      </c>
      <c r="D132">
        <v>1.3518962133134513E-2</v>
      </c>
      <c r="E132" s="18">
        <v>6.4036512455101684E-3</v>
      </c>
      <c r="F132" s="18"/>
      <c r="G132" s="18">
        <f t="shared" si="22"/>
        <v>3.8421907473061008E-3</v>
      </c>
      <c r="H132" s="18">
        <f t="shared" si="23"/>
        <v>0.47367920572948707</v>
      </c>
      <c r="I132" s="18"/>
      <c r="J132" s="18"/>
      <c r="K132" s="18">
        <f t="shared" si="24"/>
        <v>0</v>
      </c>
      <c r="L132" s="18">
        <f t="shared" si="25"/>
        <v>0</v>
      </c>
      <c r="M132" s="18">
        <v>4.0803428607822717E-3</v>
      </c>
      <c r="N132" s="18"/>
      <c r="O132" s="18">
        <f t="shared" si="26"/>
        <v>1.0200857151955679E-3</v>
      </c>
      <c r="P132" s="18">
        <f t="shared" si="27"/>
        <v>0.30182367703963686</v>
      </c>
      <c r="Q132" s="18"/>
      <c r="R132" s="18"/>
      <c r="S132" s="18">
        <f t="shared" si="28"/>
        <v>0</v>
      </c>
      <c r="T132" s="18">
        <f t="shared" si="29"/>
        <v>0</v>
      </c>
      <c r="U132" s="18"/>
      <c r="V132" s="18"/>
      <c r="W132" s="18">
        <f t="shared" si="30"/>
        <v>0</v>
      </c>
      <c r="X132" s="18">
        <f t="shared" si="31"/>
        <v>0</v>
      </c>
      <c r="Y132" s="18"/>
      <c r="Z132" s="18"/>
      <c r="AA132" s="18">
        <f t="shared" si="32"/>
        <v>0</v>
      </c>
      <c r="AB132" s="18">
        <f t="shared" si="33"/>
        <v>0</v>
      </c>
      <c r="AC132" s="18"/>
      <c r="AD132" s="18"/>
      <c r="AE132" s="18">
        <f t="shared" si="34"/>
        <v>0</v>
      </c>
      <c r="AF132" s="18">
        <f t="shared" si="35"/>
        <v>0</v>
      </c>
      <c r="AG132" s="18"/>
      <c r="AH132" s="18"/>
      <c r="AI132" s="18">
        <f t="shared" ref="AI132:AI195" si="43">+AG132*$AH$3</f>
        <v>0</v>
      </c>
      <c r="AJ132" s="18">
        <f t="shared" ref="AJ132:AJ195" si="44">+AG132/D132</f>
        <v>0</v>
      </c>
      <c r="AK132" s="18"/>
      <c r="AL132" s="18"/>
      <c r="AM132" s="18">
        <f t="shared" ref="AM132:AM195" si="45">+AK132*$AL$3</f>
        <v>0</v>
      </c>
      <c r="AN132" s="18">
        <f t="shared" ref="AN132:AN195" si="46">+AK132/D132</f>
        <v>0</v>
      </c>
      <c r="AP132">
        <f t="shared" si="40"/>
        <v>3.8421907473061008E-3</v>
      </c>
      <c r="AQ132">
        <f t="shared" si="41"/>
        <v>1.9210953736530504E-3</v>
      </c>
      <c r="AR132">
        <f t="shared" si="42"/>
        <v>1.9210953736530504E-3</v>
      </c>
    </row>
    <row r="133" spans="1:44" x14ac:dyDescent="0.3">
      <c r="A133" s="2" t="s">
        <v>268</v>
      </c>
      <c r="B133" s="2" t="s">
        <v>269</v>
      </c>
      <c r="C133">
        <v>6.3569999999999998E-3</v>
      </c>
      <c r="D133">
        <v>6.3567402635928277E-3</v>
      </c>
      <c r="E133" s="18"/>
      <c r="F133" s="18"/>
      <c r="G133" s="18">
        <f t="shared" ref="G133:G195" si="47">+E133*$F$3</f>
        <v>0</v>
      </c>
      <c r="H133" s="18">
        <f t="shared" ref="H133:H196" si="48">+E133/D133</f>
        <v>0</v>
      </c>
      <c r="I133" s="18"/>
      <c r="J133" s="18"/>
      <c r="K133" s="18">
        <f t="shared" ref="K133:K195" si="49">I133*$J$3</f>
        <v>0</v>
      </c>
      <c r="L133" s="18">
        <f t="shared" ref="L133:L196" si="50">+I133/D133</f>
        <v>0</v>
      </c>
      <c r="M133" s="18"/>
      <c r="N133" s="18"/>
      <c r="O133" s="18">
        <f t="shared" ref="O133:O195" si="51">+M133*$N$3</f>
        <v>0</v>
      </c>
      <c r="P133" s="18">
        <f t="shared" ref="P133:P196" si="52">+M133/D133</f>
        <v>0</v>
      </c>
      <c r="Q133" s="18"/>
      <c r="R133" s="18"/>
      <c r="S133" s="18">
        <f t="shared" ref="S133:S196" si="53">+Q133*$R$3</f>
        <v>0</v>
      </c>
      <c r="T133" s="18">
        <f t="shared" ref="T133:T196" si="54">+Q133/D133</f>
        <v>0</v>
      </c>
      <c r="U133" s="18"/>
      <c r="V133" s="18"/>
      <c r="W133" s="18">
        <f t="shared" ref="W133:W196" si="55">+U133*$V$3</f>
        <v>0</v>
      </c>
      <c r="X133" s="18">
        <f t="shared" ref="X133:X196" si="56">+U133/D133</f>
        <v>0</v>
      </c>
      <c r="Y133" s="18"/>
      <c r="Z133" s="18"/>
      <c r="AA133" s="18">
        <f t="shared" ref="AA133:AA196" si="57">+Y133*$Z$3</f>
        <v>0</v>
      </c>
      <c r="AB133" s="18">
        <f t="shared" ref="AB133:AB196" si="58">+Y133/D133</f>
        <v>0</v>
      </c>
      <c r="AC133" s="18"/>
      <c r="AD133" s="18"/>
      <c r="AE133" s="18">
        <f t="shared" ref="AE133:AE196" si="59">+AC133*$AD$3</f>
        <v>0</v>
      </c>
      <c r="AF133" s="18">
        <f t="shared" ref="AF133:AF196" si="60">+AC133/D133</f>
        <v>0</v>
      </c>
      <c r="AG133" s="18"/>
      <c r="AH133" s="18"/>
      <c r="AI133" s="18">
        <f t="shared" si="43"/>
        <v>0</v>
      </c>
      <c r="AJ133" s="18">
        <f t="shared" si="44"/>
        <v>0</v>
      </c>
      <c r="AK133" s="18"/>
      <c r="AL133" s="18"/>
      <c r="AM133" s="18">
        <f t="shared" si="45"/>
        <v>0</v>
      </c>
      <c r="AN133" s="18">
        <f t="shared" si="46"/>
        <v>0</v>
      </c>
      <c r="AP133">
        <f t="shared" ref="AP133:AP195" si="61">SUM(G133,K133)</f>
        <v>0</v>
      </c>
      <c r="AQ133">
        <f t="shared" ref="AQ133:AQ195" si="62">AVERAGE(G133,K133)</f>
        <v>0</v>
      </c>
      <c r="AR133">
        <f t="shared" ref="AR133:AR195" si="63">MEDIAN(G133,K133)</f>
        <v>0</v>
      </c>
    </row>
    <row r="134" spans="1:44" x14ac:dyDescent="0.3">
      <c r="A134" s="2" t="s">
        <v>270</v>
      </c>
      <c r="B134" s="2" t="s">
        <v>271</v>
      </c>
      <c r="C134">
        <v>3.6000000000000001E-5</v>
      </c>
      <c r="D134">
        <v>4.6693408508821356E-5</v>
      </c>
      <c r="E134" s="18"/>
      <c r="F134" s="18"/>
      <c r="G134" s="18">
        <f t="shared" si="47"/>
        <v>0</v>
      </c>
      <c r="H134" s="18">
        <f t="shared" si="48"/>
        <v>0</v>
      </c>
      <c r="I134" s="18"/>
      <c r="J134" s="18"/>
      <c r="K134" s="18">
        <f t="shared" si="49"/>
        <v>0</v>
      </c>
      <c r="L134" s="18">
        <f t="shared" si="50"/>
        <v>0</v>
      </c>
      <c r="M134" s="18"/>
      <c r="N134" s="18"/>
      <c r="O134" s="18">
        <f t="shared" si="51"/>
        <v>0</v>
      </c>
      <c r="P134" s="18">
        <f t="shared" si="52"/>
        <v>0</v>
      </c>
      <c r="Q134" s="18"/>
      <c r="R134" s="18"/>
      <c r="S134" s="18">
        <f t="shared" si="53"/>
        <v>0</v>
      </c>
      <c r="T134" s="18">
        <f t="shared" si="54"/>
        <v>0</v>
      </c>
      <c r="U134" s="18"/>
      <c r="V134" s="18"/>
      <c r="W134" s="18">
        <f t="shared" si="55"/>
        <v>0</v>
      </c>
      <c r="X134" s="18">
        <f t="shared" si="56"/>
        <v>0</v>
      </c>
      <c r="Y134" s="18"/>
      <c r="Z134" s="18"/>
      <c r="AA134" s="18">
        <f t="shared" si="57"/>
        <v>0</v>
      </c>
      <c r="AB134" s="18">
        <f t="shared" si="58"/>
        <v>0</v>
      </c>
      <c r="AC134" s="18"/>
      <c r="AD134" s="18"/>
      <c r="AE134" s="18">
        <f t="shared" si="59"/>
        <v>0</v>
      </c>
      <c r="AF134" s="18">
        <f t="shared" si="60"/>
        <v>0</v>
      </c>
      <c r="AG134" s="18"/>
      <c r="AH134" s="18"/>
      <c r="AI134" s="18">
        <f t="shared" si="43"/>
        <v>0</v>
      </c>
      <c r="AJ134" s="18">
        <f t="shared" si="44"/>
        <v>0</v>
      </c>
      <c r="AK134" s="18"/>
      <c r="AL134" s="18"/>
      <c r="AM134" s="18">
        <f t="shared" si="45"/>
        <v>0</v>
      </c>
      <c r="AN134" s="18">
        <f t="shared" si="46"/>
        <v>0</v>
      </c>
      <c r="AP134">
        <f t="shared" si="61"/>
        <v>0</v>
      </c>
      <c r="AQ134">
        <f t="shared" si="62"/>
        <v>0</v>
      </c>
      <c r="AR134">
        <f t="shared" si="63"/>
        <v>0</v>
      </c>
    </row>
    <row r="135" spans="1:44" x14ac:dyDescent="0.3">
      <c r="A135" s="2" t="s">
        <v>272</v>
      </c>
      <c r="B135" s="2" t="s">
        <v>273</v>
      </c>
      <c r="C135">
        <v>0</v>
      </c>
      <c r="D135">
        <v>1.0466422147786576E-6</v>
      </c>
      <c r="E135" s="18"/>
      <c r="F135" s="18"/>
      <c r="G135" s="18">
        <f t="shared" si="47"/>
        <v>0</v>
      </c>
      <c r="H135" s="18">
        <f t="shared" si="48"/>
        <v>0</v>
      </c>
      <c r="I135" s="18"/>
      <c r="J135" s="18"/>
      <c r="K135" s="18">
        <f t="shared" si="49"/>
        <v>0</v>
      </c>
      <c r="L135" s="18">
        <f t="shared" si="50"/>
        <v>0</v>
      </c>
      <c r="M135" s="18"/>
      <c r="N135" s="18"/>
      <c r="O135" s="18">
        <f t="shared" si="51"/>
        <v>0</v>
      </c>
      <c r="P135" s="18">
        <f t="shared" si="52"/>
        <v>0</v>
      </c>
      <c r="Q135" s="18"/>
      <c r="R135" s="18"/>
      <c r="S135" s="18">
        <f t="shared" si="53"/>
        <v>0</v>
      </c>
      <c r="T135" s="18">
        <f t="shared" si="54"/>
        <v>0</v>
      </c>
      <c r="U135" s="18"/>
      <c r="V135" s="18"/>
      <c r="W135" s="18">
        <f t="shared" si="55"/>
        <v>0</v>
      </c>
      <c r="X135" s="18">
        <f t="shared" si="56"/>
        <v>0</v>
      </c>
      <c r="Y135" s="18"/>
      <c r="Z135" s="18"/>
      <c r="AA135" s="18">
        <f t="shared" si="57"/>
        <v>0</v>
      </c>
      <c r="AB135" s="18">
        <f t="shared" si="58"/>
        <v>0</v>
      </c>
      <c r="AC135" s="18"/>
      <c r="AD135" s="18"/>
      <c r="AE135" s="18">
        <f t="shared" si="59"/>
        <v>0</v>
      </c>
      <c r="AF135" s="18">
        <f t="shared" si="60"/>
        <v>0</v>
      </c>
      <c r="AG135" s="18"/>
      <c r="AH135" s="18"/>
      <c r="AI135" s="18">
        <f t="shared" si="43"/>
        <v>0</v>
      </c>
      <c r="AJ135" s="18">
        <f t="shared" si="44"/>
        <v>0</v>
      </c>
      <c r="AK135" s="18"/>
      <c r="AL135" s="18"/>
      <c r="AM135" s="18">
        <f t="shared" si="45"/>
        <v>0</v>
      </c>
      <c r="AN135" s="18">
        <f t="shared" si="46"/>
        <v>0</v>
      </c>
      <c r="AP135">
        <f t="shared" si="61"/>
        <v>0</v>
      </c>
      <c r="AQ135">
        <f t="shared" si="62"/>
        <v>0</v>
      </c>
      <c r="AR135">
        <f t="shared" si="63"/>
        <v>0</v>
      </c>
    </row>
    <row r="136" spans="1:44" x14ac:dyDescent="0.3">
      <c r="A136" s="2" t="s">
        <v>274</v>
      </c>
      <c r="B136" s="2" t="s">
        <v>275</v>
      </c>
      <c r="C136">
        <v>3.9399999999999998E-4</v>
      </c>
      <c r="D136">
        <v>5.4659675769698046E-4</v>
      </c>
      <c r="E136" s="18">
        <v>2.9107505661409857E-5</v>
      </c>
      <c r="F136" s="18"/>
      <c r="G136" s="18">
        <f t="shared" si="47"/>
        <v>1.7464503396845913E-5</v>
      </c>
      <c r="H136" s="18">
        <f t="shared" si="48"/>
        <v>5.3252247203314604E-2</v>
      </c>
      <c r="I136" s="18"/>
      <c r="J136" s="18"/>
      <c r="K136" s="18">
        <f t="shared" si="49"/>
        <v>0</v>
      </c>
      <c r="L136" s="18">
        <f t="shared" si="50"/>
        <v>0</v>
      </c>
      <c r="M136" s="18"/>
      <c r="N136" s="18"/>
      <c r="O136" s="18">
        <f t="shared" si="51"/>
        <v>0</v>
      </c>
      <c r="P136" s="18">
        <f t="shared" si="52"/>
        <v>0</v>
      </c>
      <c r="Q136" s="18"/>
      <c r="R136" s="18"/>
      <c r="S136" s="18">
        <f t="shared" si="53"/>
        <v>0</v>
      </c>
      <c r="T136" s="18">
        <f t="shared" si="54"/>
        <v>0</v>
      </c>
      <c r="U136" s="18"/>
      <c r="V136" s="18"/>
      <c r="W136" s="18">
        <f t="shared" si="55"/>
        <v>0</v>
      </c>
      <c r="X136" s="18">
        <f t="shared" si="56"/>
        <v>0</v>
      </c>
      <c r="Y136" s="18"/>
      <c r="Z136" s="18"/>
      <c r="AA136" s="18">
        <f t="shared" si="57"/>
        <v>0</v>
      </c>
      <c r="AB136" s="18">
        <f t="shared" si="58"/>
        <v>0</v>
      </c>
      <c r="AC136" s="18"/>
      <c r="AD136" s="18"/>
      <c r="AE136" s="18">
        <f t="shared" si="59"/>
        <v>0</v>
      </c>
      <c r="AF136" s="18">
        <f t="shared" si="60"/>
        <v>0</v>
      </c>
      <c r="AG136" s="18"/>
      <c r="AH136" s="18"/>
      <c r="AI136" s="18">
        <f t="shared" si="43"/>
        <v>0</v>
      </c>
      <c r="AJ136" s="18">
        <f t="shared" si="44"/>
        <v>0</v>
      </c>
      <c r="AK136" s="18"/>
      <c r="AL136" s="18"/>
      <c r="AM136" s="18">
        <f t="shared" si="45"/>
        <v>0</v>
      </c>
      <c r="AN136" s="18">
        <f t="shared" si="46"/>
        <v>0</v>
      </c>
      <c r="AP136">
        <f t="shared" si="61"/>
        <v>1.7464503396845913E-5</v>
      </c>
      <c r="AQ136">
        <f t="shared" si="62"/>
        <v>8.7322516984229567E-6</v>
      </c>
      <c r="AR136">
        <f t="shared" si="63"/>
        <v>8.7322516984229567E-6</v>
      </c>
    </row>
    <row r="137" spans="1:44" x14ac:dyDescent="0.3">
      <c r="A137" s="2" t="s">
        <v>278</v>
      </c>
      <c r="B137" s="2" t="s">
        <v>279</v>
      </c>
      <c r="C137">
        <v>9.3939999999999996E-3</v>
      </c>
      <c r="D137">
        <v>4.0926676598427624E-3</v>
      </c>
      <c r="E137" s="18"/>
      <c r="F137" s="18"/>
      <c r="G137" s="18">
        <f t="shared" si="47"/>
        <v>0</v>
      </c>
      <c r="H137" s="18">
        <f t="shared" si="48"/>
        <v>0</v>
      </c>
      <c r="I137" s="18"/>
      <c r="J137" s="18"/>
      <c r="K137" s="18">
        <f t="shared" si="49"/>
        <v>0</v>
      </c>
      <c r="L137" s="18">
        <f t="shared" si="50"/>
        <v>0</v>
      </c>
      <c r="M137" s="18"/>
      <c r="N137" s="18"/>
      <c r="O137" s="18">
        <f t="shared" si="51"/>
        <v>0</v>
      </c>
      <c r="P137" s="18">
        <f t="shared" si="52"/>
        <v>0</v>
      </c>
      <c r="Q137" s="18"/>
      <c r="R137" s="18"/>
      <c r="S137" s="18">
        <f t="shared" si="53"/>
        <v>0</v>
      </c>
      <c r="T137" s="18">
        <f t="shared" si="54"/>
        <v>0</v>
      </c>
      <c r="U137" s="18">
        <v>6.8766734457986443E-3</v>
      </c>
      <c r="V137" s="18"/>
      <c r="W137" s="18">
        <f t="shared" si="55"/>
        <v>2.7506693783194581E-3</v>
      </c>
      <c r="X137" s="18">
        <f t="shared" si="56"/>
        <v>1.680242330270922</v>
      </c>
      <c r="Y137" s="18"/>
      <c r="Z137" s="18"/>
      <c r="AA137" s="18">
        <f t="shared" si="57"/>
        <v>0</v>
      </c>
      <c r="AB137" s="18">
        <f t="shared" si="58"/>
        <v>0</v>
      </c>
      <c r="AC137" s="18"/>
      <c r="AD137" s="18"/>
      <c r="AE137" s="18">
        <f t="shared" si="59"/>
        <v>0</v>
      </c>
      <c r="AF137" s="18">
        <f t="shared" si="60"/>
        <v>0</v>
      </c>
      <c r="AG137" s="18"/>
      <c r="AH137" s="18"/>
      <c r="AI137" s="18">
        <f t="shared" si="43"/>
        <v>0</v>
      </c>
      <c r="AJ137" s="18">
        <f t="shared" si="44"/>
        <v>0</v>
      </c>
      <c r="AK137" s="18"/>
      <c r="AL137" s="18"/>
      <c r="AM137" s="18">
        <f t="shared" si="45"/>
        <v>0</v>
      </c>
      <c r="AN137" s="18">
        <f t="shared" si="46"/>
        <v>0</v>
      </c>
      <c r="AP137">
        <f t="shared" si="61"/>
        <v>0</v>
      </c>
      <c r="AQ137">
        <f t="shared" si="62"/>
        <v>0</v>
      </c>
      <c r="AR137">
        <f t="shared" si="63"/>
        <v>0</v>
      </c>
    </row>
    <row r="138" spans="1:44" x14ac:dyDescent="0.3">
      <c r="A138" s="2" t="s">
        <v>280</v>
      </c>
      <c r="B138" s="2" t="s">
        <v>281</v>
      </c>
      <c r="C138">
        <v>2.6714000000000002E-2</v>
      </c>
      <c r="D138">
        <v>3.6544728122722574E-2</v>
      </c>
      <c r="E138" s="18"/>
      <c r="F138" s="18"/>
      <c r="G138" s="18">
        <f t="shared" si="47"/>
        <v>0</v>
      </c>
      <c r="H138" s="18">
        <f t="shared" si="48"/>
        <v>0</v>
      </c>
      <c r="I138" s="18"/>
      <c r="J138" s="18"/>
      <c r="K138" s="18">
        <f t="shared" si="49"/>
        <v>0</v>
      </c>
      <c r="L138" s="18">
        <f t="shared" si="50"/>
        <v>0</v>
      </c>
      <c r="M138" s="18"/>
      <c r="N138" s="18"/>
      <c r="O138" s="18">
        <f t="shared" si="51"/>
        <v>0</v>
      </c>
      <c r="P138" s="18">
        <f t="shared" si="52"/>
        <v>0</v>
      </c>
      <c r="Q138" s="18"/>
      <c r="R138" s="18"/>
      <c r="S138" s="18">
        <f t="shared" si="53"/>
        <v>0</v>
      </c>
      <c r="T138" s="18">
        <f t="shared" si="54"/>
        <v>0</v>
      </c>
      <c r="U138" s="18"/>
      <c r="V138" s="18"/>
      <c r="W138" s="18">
        <f t="shared" si="55"/>
        <v>0</v>
      </c>
      <c r="X138" s="18">
        <f t="shared" si="56"/>
        <v>0</v>
      </c>
      <c r="Y138" s="18"/>
      <c r="Z138" s="18"/>
      <c r="AA138" s="18">
        <f t="shared" si="57"/>
        <v>0</v>
      </c>
      <c r="AB138" s="18">
        <f t="shared" si="58"/>
        <v>0</v>
      </c>
      <c r="AC138" s="18"/>
      <c r="AD138" s="18"/>
      <c r="AE138" s="18">
        <f t="shared" si="59"/>
        <v>0</v>
      </c>
      <c r="AF138" s="18">
        <f t="shared" si="60"/>
        <v>0</v>
      </c>
      <c r="AG138" s="18"/>
      <c r="AH138" s="18"/>
      <c r="AI138" s="18">
        <f t="shared" si="43"/>
        <v>0</v>
      </c>
      <c r="AJ138" s="18">
        <f t="shared" si="44"/>
        <v>0</v>
      </c>
      <c r="AK138" s="18"/>
      <c r="AL138" s="18"/>
      <c r="AM138" s="18">
        <f t="shared" si="45"/>
        <v>0</v>
      </c>
      <c r="AN138" s="18">
        <f t="shared" si="46"/>
        <v>0</v>
      </c>
      <c r="AP138">
        <f t="shared" si="61"/>
        <v>0</v>
      </c>
      <c r="AQ138">
        <f t="shared" si="62"/>
        <v>0</v>
      </c>
      <c r="AR138">
        <f t="shared" si="63"/>
        <v>0</v>
      </c>
    </row>
    <row r="139" spans="1:44" x14ac:dyDescent="0.3">
      <c r="A139" s="2" t="s">
        <v>282</v>
      </c>
      <c r="B139" s="2" t="s">
        <v>283</v>
      </c>
      <c r="C139">
        <v>9.783E-3</v>
      </c>
      <c r="D139">
        <v>1.3242507717840933E-2</v>
      </c>
      <c r="E139" s="18"/>
      <c r="F139" s="18"/>
      <c r="G139" s="18">
        <f t="shared" si="47"/>
        <v>0</v>
      </c>
      <c r="H139" s="18">
        <f t="shared" si="48"/>
        <v>0</v>
      </c>
      <c r="I139" s="18"/>
      <c r="J139" s="18"/>
      <c r="K139" s="18">
        <f t="shared" si="49"/>
        <v>0</v>
      </c>
      <c r="L139" s="18">
        <f t="shared" si="50"/>
        <v>0</v>
      </c>
      <c r="M139" s="18">
        <v>5.8790531784856052E-4</v>
      </c>
      <c r="N139" s="18"/>
      <c r="O139" s="18">
        <f t="shared" si="51"/>
        <v>1.4697632946214013E-4</v>
      </c>
      <c r="P139" s="18">
        <f t="shared" si="52"/>
        <v>4.4395316232778682E-2</v>
      </c>
      <c r="Q139" s="18"/>
      <c r="R139" s="18"/>
      <c r="S139" s="18">
        <f t="shared" si="53"/>
        <v>0</v>
      </c>
      <c r="T139" s="18">
        <f t="shared" si="54"/>
        <v>0</v>
      </c>
      <c r="U139" s="18"/>
      <c r="V139" s="18"/>
      <c r="W139" s="18">
        <f t="shared" si="55"/>
        <v>0</v>
      </c>
      <c r="X139" s="18">
        <f t="shared" si="56"/>
        <v>0</v>
      </c>
      <c r="Y139" s="18"/>
      <c r="Z139" s="18"/>
      <c r="AA139" s="18">
        <f t="shared" si="57"/>
        <v>0</v>
      </c>
      <c r="AB139" s="18">
        <f t="shared" si="58"/>
        <v>0</v>
      </c>
      <c r="AC139" s="18"/>
      <c r="AD139" s="18"/>
      <c r="AE139" s="18">
        <f t="shared" si="59"/>
        <v>0</v>
      </c>
      <c r="AF139" s="18">
        <f t="shared" si="60"/>
        <v>0</v>
      </c>
      <c r="AG139" s="18"/>
      <c r="AH139" s="18"/>
      <c r="AI139" s="18">
        <f t="shared" si="43"/>
        <v>0</v>
      </c>
      <c r="AJ139" s="18">
        <f t="shared" si="44"/>
        <v>0</v>
      </c>
      <c r="AK139" s="18"/>
      <c r="AL139" s="18"/>
      <c r="AM139" s="18">
        <f t="shared" si="45"/>
        <v>0</v>
      </c>
      <c r="AN139" s="18">
        <f t="shared" si="46"/>
        <v>0</v>
      </c>
      <c r="AP139">
        <f t="shared" si="61"/>
        <v>0</v>
      </c>
      <c r="AQ139">
        <f t="shared" si="62"/>
        <v>0</v>
      </c>
      <c r="AR139">
        <f t="shared" si="63"/>
        <v>0</v>
      </c>
    </row>
    <row r="140" spans="1:44" x14ac:dyDescent="0.3">
      <c r="A140" s="2" t="s">
        <v>284</v>
      </c>
      <c r="B140" s="2" t="s">
        <v>285</v>
      </c>
      <c r="C140">
        <v>9.4249999999999994E-3</v>
      </c>
      <c r="D140">
        <v>9.8647528397220966E-3</v>
      </c>
      <c r="E140" s="18"/>
      <c r="F140" s="18"/>
      <c r="G140" s="18">
        <f t="shared" si="47"/>
        <v>0</v>
      </c>
      <c r="H140" s="18">
        <f t="shared" si="48"/>
        <v>0</v>
      </c>
      <c r="I140" s="18"/>
      <c r="J140" s="18"/>
      <c r="K140" s="18">
        <f t="shared" si="49"/>
        <v>0</v>
      </c>
      <c r="L140" s="18">
        <f t="shared" si="50"/>
        <v>0</v>
      </c>
      <c r="M140" s="18"/>
      <c r="N140" s="18"/>
      <c r="O140" s="18">
        <f t="shared" si="51"/>
        <v>0</v>
      </c>
      <c r="P140" s="18">
        <f t="shared" si="52"/>
        <v>0</v>
      </c>
      <c r="Q140" s="18"/>
      <c r="R140" s="18"/>
      <c r="S140" s="18">
        <f t="shared" si="53"/>
        <v>0</v>
      </c>
      <c r="T140" s="18">
        <f t="shared" si="54"/>
        <v>0</v>
      </c>
      <c r="U140" s="18"/>
      <c r="V140" s="18"/>
      <c r="W140" s="18">
        <f t="shared" si="55"/>
        <v>0</v>
      </c>
      <c r="X140" s="18">
        <f t="shared" si="56"/>
        <v>0</v>
      </c>
      <c r="Y140" s="18"/>
      <c r="Z140" s="18"/>
      <c r="AA140" s="18">
        <f t="shared" si="57"/>
        <v>0</v>
      </c>
      <c r="AB140" s="18">
        <f t="shared" si="58"/>
        <v>0</v>
      </c>
      <c r="AC140" s="18"/>
      <c r="AD140" s="18"/>
      <c r="AE140" s="18">
        <f t="shared" si="59"/>
        <v>0</v>
      </c>
      <c r="AF140" s="18">
        <f t="shared" si="60"/>
        <v>0</v>
      </c>
      <c r="AG140" s="18"/>
      <c r="AH140" s="18"/>
      <c r="AI140" s="18">
        <f t="shared" si="43"/>
        <v>0</v>
      </c>
      <c r="AJ140" s="18">
        <f t="shared" si="44"/>
        <v>0</v>
      </c>
      <c r="AK140" s="18"/>
      <c r="AL140" s="18"/>
      <c r="AM140" s="18">
        <f t="shared" si="45"/>
        <v>0</v>
      </c>
      <c r="AN140" s="18">
        <f t="shared" si="46"/>
        <v>0</v>
      </c>
      <c r="AP140">
        <f t="shared" si="61"/>
        <v>0</v>
      </c>
      <c r="AQ140">
        <f t="shared" si="62"/>
        <v>0</v>
      </c>
      <c r="AR140">
        <f t="shared" si="63"/>
        <v>0</v>
      </c>
    </row>
    <row r="141" spans="1:44" x14ac:dyDescent="0.3">
      <c r="A141" s="2" t="s">
        <v>286</v>
      </c>
      <c r="B141" s="2" t="s">
        <v>287</v>
      </c>
      <c r="C141">
        <v>1.1154000000000001E-2</v>
      </c>
      <c r="D141">
        <v>1.2315386631787875E-2</v>
      </c>
      <c r="E141" s="18"/>
      <c r="F141" s="18"/>
      <c r="G141" s="18">
        <f t="shared" si="47"/>
        <v>0</v>
      </c>
      <c r="H141" s="18">
        <f t="shared" si="48"/>
        <v>0</v>
      </c>
      <c r="I141" s="18"/>
      <c r="J141" s="18"/>
      <c r="K141" s="18">
        <f t="shared" si="49"/>
        <v>0</v>
      </c>
      <c r="L141" s="18">
        <f t="shared" si="50"/>
        <v>0</v>
      </c>
      <c r="M141" s="18">
        <v>3.0774043840239532E-2</v>
      </c>
      <c r="N141" s="18"/>
      <c r="O141" s="18">
        <f t="shared" si="51"/>
        <v>7.6935109600598829E-3</v>
      </c>
      <c r="P141" s="18">
        <f t="shared" si="52"/>
        <v>2.4988288845765565</v>
      </c>
      <c r="Q141" s="18">
        <v>1.3426333067044396E-2</v>
      </c>
      <c r="R141" s="18"/>
      <c r="S141" s="18">
        <f t="shared" si="53"/>
        <v>4.0278999201133186E-3</v>
      </c>
      <c r="T141" s="18">
        <f t="shared" si="54"/>
        <v>1.0902080030836385</v>
      </c>
      <c r="U141" s="18">
        <v>3.2920245219248828E-2</v>
      </c>
      <c r="V141" s="18"/>
      <c r="W141" s="18">
        <f t="shared" si="55"/>
        <v>1.3168098087699531E-2</v>
      </c>
      <c r="X141" s="18">
        <f t="shared" si="56"/>
        <v>2.6730987993731921</v>
      </c>
      <c r="Y141" s="18"/>
      <c r="Z141" s="18"/>
      <c r="AA141" s="18">
        <f t="shared" si="57"/>
        <v>0</v>
      </c>
      <c r="AB141" s="18">
        <f t="shared" si="58"/>
        <v>0</v>
      </c>
      <c r="AC141" s="18"/>
      <c r="AD141" s="18"/>
      <c r="AE141" s="18">
        <f t="shared" si="59"/>
        <v>0</v>
      </c>
      <c r="AF141" s="18">
        <f t="shared" si="60"/>
        <v>0</v>
      </c>
      <c r="AG141" s="18"/>
      <c r="AH141" s="18"/>
      <c r="AI141" s="18">
        <f t="shared" si="43"/>
        <v>0</v>
      </c>
      <c r="AJ141" s="18">
        <f t="shared" si="44"/>
        <v>0</v>
      </c>
      <c r="AK141" s="18"/>
      <c r="AL141" s="18"/>
      <c r="AM141" s="18">
        <f t="shared" si="45"/>
        <v>0</v>
      </c>
      <c r="AN141" s="18">
        <f t="shared" si="46"/>
        <v>0</v>
      </c>
      <c r="AP141">
        <f t="shared" si="61"/>
        <v>0</v>
      </c>
      <c r="AQ141">
        <f t="shared" si="62"/>
        <v>0</v>
      </c>
      <c r="AR141">
        <f t="shared" si="63"/>
        <v>0</v>
      </c>
    </row>
    <row r="142" spans="1:44" x14ac:dyDescent="0.3">
      <c r="A142" s="2" t="s">
        <v>288</v>
      </c>
      <c r="B142" s="2" t="s">
        <v>289</v>
      </c>
      <c r="C142">
        <v>1.0000000000000001E-5</v>
      </c>
      <c r="D142">
        <v>2.6214737696153836E-3</v>
      </c>
      <c r="E142" s="18"/>
      <c r="F142" s="18"/>
      <c r="G142" s="18">
        <f t="shared" si="47"/>
        <v>0</v>
      </c>
      <c r="H142" s="18">
        <f t="shared" si="48"/>
        <v>0</v>
      </c>
      <c r="I142" s="18"/>
      <c r="J142" s="18"/>
      <c r="K142" s="18">
        <f t="shared" si="49"/>
        <v>0</v>
      </c>
      <c r="L142" s="18">
        <f t="shared" si="50"/>
        <v>0</v>
      </c>
      <c r="M142" s="18"/>
      <c r="N142" s="18"/>
      <c r="O142" s="18">
        <f t="shared" si="51"/>
        <v>0</v>
      </c>
      <c r="P142" s="18">
        <f t="shared" si="52"/>
        <v>0</v>
      </c>
      <c r="Q142" s="18"/>
      <c r="R142" s="18"/>
      <c r="S142" s="18">
        <f t="shared" si="53"/>
        <v>0</v>
      </c>
      <c r="T142" s="18">
        <f t="shared" si="54"/>
        <v>0</v>
      </c>
      <c r="U142" s="18"/>
      <c r="V142" s="18"/>
      <c r="W142" s="18">
        <f t="shared" si="55"/>
        <v>0</v>
      </c>
      <c r="X142" s="18">
        <f t="shared" si="56"/>
        <v>0</v>
      </c>
      <c r="Y142" s="18"/>
      <c r="Z142" s="18"/>
      <c r="AA142" s="18">
        <f t="shared" si="57"/>
        <v>0</v>
      </c>
      <c r="AB142" s="18">
        <f t="shared" si="58"/>
        <v>0</v>
      </c>
      <c r="AC142" s="18"/>
      <c r="AD142" s="18"/>
      <c r="AE142" s="18">
        <f t="shared" si="59"/>
        <v>0</v>
      </c>
      <c r="AF142" s="18">
        <f t="shared" si="60"/>
        <v>0</v>
      </c>
      <c r="AG142" s="18"/>
      <c r="AH142" s="18"/>
      <c r="AI142" s="18">
        <f t="shared" si="43"/>
        <v>0</v>
      </c>
      <c r="AJ142" s="18">
        <f t="shared" si="44"/>
        <v>0</v>
      </c>
      <c r="AK142" s="18"/>
      <c r="AL142" s="18"/>
      <c r="AM142" s="18">
        <f t="shared" si="45"/>
        <v>0</v>
      </c>
      <c r="AN142" s="18">
        <f t="shared" si="46"/>
        <v>0</v>
      </c>
      <c r="AP142">
        <f t="shared" si="61"/>
        <v>0</v>
      </c>
      <c r="AQ142">
        <f t="shared" si="62"/>
        <v>0</v>
      </c>
      <c r="AR142">
        <f t="shared" si="63"/>
        <v>0</v>
      </c>
    </row>
    <row r="143" spans="1:44" x14ac:dyDescent="0.3">
      <c r="A143" s="2" t="s">
        <v>290</v>
      </c>
      <c r="B143" s="2" t="s">
        <v>291</v>
      </c>
      <c r="C143">
        <v>2.6069999999999999E-3</v>
      </c>
      <c r="D143">
        <v>2.6214737696153836E-3</v>
      </c>
      <c r="E143" s="18"/>
      <c r="F143" s="18"/>
      <c r="G143" s="18">
        <f t="shared" si="47"/>
        <v>0</v>
      </c>
      <c r="H143" s="18">
        <f t="shared" si="48"/>
        <v>0</v>
      </c>
      <c r="I143" s="18"/>
      <c r="J143" s="18"/>
      <c r="K143" s="18">
        <f t="shared" si="49"/>
        <v>0</v>
      </c>
      <c r="L143" s="18">
        <f t="shared" si="50"/>
        <v>0</v>
      </c>
      <c r="M143" s="18"/>
      <c r="N143" s="18"/>
      <c r="O143" s="18">
        <f t="shared" si="51"/>
        <v>0</v>
      </c>
      <c r="P143" s="18">
        <f t="shared" si="52"/>
        <v>0</v>
      </c>
      <c r="Q143" s="18"/>
      <c r="R143" s="18"/>
      <c r="S143" s="18">
        <f t="shared" si="53"/>
        <v>0</v>
      </c>
      <c r="T143" s="18">
        <f t="shared" si="54"/>
        <v>0</v>
      </c>
      <c r="U143" s="18"/>
      <c r="V143" s="18"/>
      <c r="W143" s="18">
        <f t="shared" si="55"/>
        <v>0</v>
      </c>
      <c r="X143" s="18">
        <f t="shared" si="56"/>
        <v>0</v>
      </c>
      <c r="Y143" s="18"/>
      <c r="Z143" s="18"/>
      <c r="AA143" s="18">
        <f t="shared" si="57"/>
        <v>0</v>
      </c>
      <c r="AB143" s="18">
        <f t="shared" si="58"/>
        <v>0</v>
      </c>
      <c r="AC143" s="18"/>
      <c r="AD143" s="18"/>
      <c r="AE143" s="18">
        <f t="shared" si="59"/>
        <v>0</v>
      </c>
      <c r="AF143" s="18">
        <f t="shared" si="60"/>
        <v>0</v>
      </c>
      <c r="AG143" s="18"/>
      <c r="AH143" s="18"/>
      <c r="AI143" s="18">
        <f t="shared" si="43"/>
        <v>0</v>
      </c>
      <c r="AJ143" s="18">
        <f t="shared" si="44"/>
        <v>0</v>
      </c>
      <c r="AK143" s="18"/>
      <c r="AL143" s="18"/>
      <c r="AM143" s="18">
        <f t="shared" si="45"/>
        <v>0</v>
      </c>
      <c r="AN143" s="18">
        <f t="shared" si="46"/>
        <v>0</v>
      </c>
      <c r="AP143">
        <f t="shared" si="61"/>
        <v>0</v>
      </c>
      <c r="AQ143">
        <f t="shared" si="62"/>
        <v>0</v>
      </c>
      <c r="AR143">
        <f t="shared" si="63"/>
        <v>0</v>
      </c>
    </row>
    <row r="144" spans="1:44" x14ac:dyDescent="0.3">
      <c r="A144" s="2" t="s">
        <v>292</v>
      </c>
      <c r="B144" s="2" t="s">
        <v>293</v>
      </c>
      <c r="C144">
        <v>1.1789999999999999E-3</v>
      </c>
      <c r="D144">
        <v>5.5712998196211063E-3</v>
      </c>
      <c r="E144" s="18"/>
      <c r="F144" s="18"/>
      <c r="G144" s="18">
        <f t="shared" si="47"/>
        <v>0</v>
      </c>
      <c r="H144" s="18">
        <f t="shared" si="48"/>
        <v>0</v>
      </c>
      <c r="I144" s="18"/>
      <c r="J144" s="18"/>
      <c r="K144" s="18">
        <f t="shared" si="49"/>
        <v>0</v>
      </c>
      <c r="L144" s="18">
        <f t="shared" si="50"/>
        <v>0</v>
      </c>
      <c r="M144" s="18"/>
      <c r="N144" s="18"/>
      <c r="O144" s="18">
        <f t="shared" si="51"/>
        <v>0</v>
      </c>
      <c r="P144" s="18">
        <f t="shared" si="52"/>
        <v>0</v>
      </c>
      <c r="Q144" s="18"/>
      <c r="R144" s="18"/>
      <c r="S144" s="18">
        <f t="shared" si="53"/>
        <v>0</v>
      </c>
      <c r="T144" s="18">
        <f t="shared" si="54"/>
        <v>0</v>
      </c>
      <c r="U144" s="18"/>
      <c r="V144" s="18"/>
      <c r="W144" s="18">
        <f t="shared" si="55"/>
        <v>0</v>
      </c>
      <c r="X144" s="18">
        <f t="shared" si="56"/>
        <v>0</v>
      </c>
      <c r="Y144" s="18"/>
      <c r="Z144" s="18"/>
      <c r="AA144" s="18">
        <f t="shared" si="57"/>
        <v>0</v>
      </c>
      <c r="AB144" s="18">
        <f t="shared" si="58"/>
        <v>0</v>
      </c>
      <c r="AC144" s="18"/>
      <c r="AD144" s="18"/>
      <c r="AE144" s="18">
        <f t="shared" si="59"/>
        <v>0</v>
      </c>
      <c r="AF144" s="18">
        <f t="shared" si="60"/>
        <v>0</v>
      </c>
      <c r="AG144" s="18"/>
      <c r="AH144" s="18"/>
      <c r="AI144" s="18">
        <f t="shared" si="43"/>
        <v>0</v>
      </c>
      <c r="AJ144" s="18">
        <f t="shared" si="44"/>
        <v>0</v>
      </c>
      <c r="AK144" s="18"/>
      <c r="AL144" s="18"/>
      <c r="AM144" s="18">
        <f t="shared" si="45"/>
        <v>0</v>
      </c>
      <c r="AN144" s="18">
        <f t="shared" si="46"/>
        <v>0</v>
      </c>
      <c r="AP144">
        <f t="shared" si="61"/>
        <v>0</v>
      </c>
      <c r="AQ144">
        <f t="shared" si="62"/>
        <v>0</v>
      </c>
      <c r="AR144">
        <f t="shared" si="63"/>
        <v>0</v>
      </c>
    </row>
    <row r="145" spans="1:44" x14ac:dyDescent="0.3">
      <c r="A145" s="2" t="s">
        <v>294</v>
      </c>
      <c r="B145" s="2" t="s">
        <v>295</v>
      </c>
      <c r="C145">
        <v>1.485E-3</v>
      </c>
      <c r="D145">
        <v>1.09733312039598E-2</v>
      </c>
      <c r="E145" s="18"/>
      <c r="F145" s="18"/>
      <c r="G145" s="18">
        <f t="shared" si="47"/>
        <v>0</v>
      </c>
      <c r="H145" s="18">
        <f t="shared" si="48"/>
        <v>0</v>
      </c>
      <c r="I145" s="18"/>
      <c r="J145" s="18"/>
      <c r="K145" s="18">
        <f t="shared" si="49"/>
        <v>0</v>
      </c>
      <c r="L145" s="18">
        <f t="shared" si="50"/>
        <v>0</v>
      </c>
      <c r="M145" s="18"/>
      <c r="N145" s="18"/>
      <c r="O145" s="18">
        <f t="shared" si="51"/>
        <v>0</v>
      </c>
      <c r="P145" s="18">
        <f t="shared" si="52"/>
        <v>0</v>
      </c>
      <c r="Q145" s="18"/>
      <c r="R145" s="18"/>
      <c r="S145" s="18">
        <f t="shared" si="53"/>
        <v>0</v>
      </c>
      <c r="T145" s="18">
        <f t="shared" si="54"/>
        <v>0</v>
      </c>
      <c r="U145" s="18"/>
      <c r="V145" s="18"/>
      <c r="W145" s="18">
        <f t="shared" si="55"/>
        <v>0</v>
      </c>
      <c r="X145" s="18">
        <f t="shared" si="56"/>
        <v>0</v>
      </c>
      <c r="Y145" s="18"/>
      <c r="Z145" s="18"/>
      <c r="AA145" s="18">
        <f t="shared" si="57"/>
        <v>0</v>
      </c>
      <c r="AB145" s="18">
        <f t="shared" si="58"/>
        <v>0</v>
      </c>
      <c r="AC145" s="18"/>
      <c r="AD145" s="18"/>
      <c r="AE145" s="18">
        <f t="shared" si="59"/>
        <v>0</v>
      </c>
      <c r="AF145" s="18">
        <f t="shared" si="60"/>
        <v>0</v>
      </c>
      <c r="AG145" s="18"/>
      <c r="AH145" s="18"/>
      <c r="AI145" s="18">
        <f t="shared" si="43"/>
        <v>0</v>
      </c>
      <c r="AJ145" s="18">
        <f t="shared" si="44"/>
        <v>0</v>
      </c>
      <c r="AK145" s="18"/>
      <c r="AL145" s="18"/>
      <c r="AM145" s="18">
        <f t="shared" si="45"/>
        <v>0</v>
      </c>
      <c r="AN145" s="18">
        <f t="shared" si="46"/>
        <v>0</v>
      </c>
      <c r="AP145">
        <f t="shared" si="61"/>
        <v>0</v>
      </c>
      <c r="AQ145">
        <f t="shared" si="62"/>
        <v>0</v>
      </c>
      <c r="AR145">
        <f t="shared" si="63"/>
        <v>0</v>
      </c>
    </row>
    <row r="146" spans="1:44" x14ac:dyDescent="0.3">
      <c r="A146" s="2" t="s">
        <v>296</v>
      </c>
      <c r="B146" s="2" t="s">
        <v>297</v>
      </c>
      <c r="C146">
        <v>1.7160000000000002E-2</v>
      </c>
      <c r="D146">
        <v>2.3400730786542839E-2</v>
      </c>
      <c r="E146" s="18"/>
      <c r="F146" s="18"/>
      <c r="G146" s="18">
        <f t="shared" si="47"/>
        <v>0</v>
      </c>
      <c r="H146" s="18">
        <f t="shared" si="48"/>
        <v>0</v>
      </c>
      <c r="I146" s="18"/>
      <c r="J146" s="18"/>
      <c r="K146" s="18">
        <f t="shared" si="49"/>
        <v>0</v>
      </c>
      <c r="L146" s="18">
        <f t="shared" si="50"/>
        <v>0</v>
      </c>
      <c r="M146" s="18"/>
      <c r="N146" s="18"/>
      <c r="O146" s="18">
        <f t="shared" si="51"/>
        <v>0</v>
      </c>
      <c r="P146" s="18">
        <f t="shared" si="52"/>
        <v>0</v>
      </c>
      <c r="Q146" s="18"/>
      <c r="R146" s="18"/>
      <c r="S146" s="18">
        <f t="shared" si="53"/>
        <v>0</v>
      </c>
      <c r="T146" s="18">
        <f t="shared" si="54"/>
        <v>0</v>
      </c>
      <c r="U146" s="18"/>
      <c r="V146" s="18"/>
      <c r="W146" s="18">
        <f t="shared" si="55"/>
        <v>0</v>
      </c>
      <c r="X146" s="18">
        <f t="shared" si="56"/>
        <v>0</v>
      </c>
      <c r="Y146" s="18"/>
      <c r="Z146" s="18"/>
      <c r="AA146" s="18">
        <f t="shared" si="57"/>
        <v>0</v>
      </c>
      <c r="AB146" s="18">
        <f t="shared" si="58"/>
        <v>0</v>
      </c>
      <c r="AC146" s="18">
        <v>2.9667651664096257E-2</v>
      </c>
      <c r="AD146" s="18"/>
      <c r="AE146" s="18">
        <f t="shared" si="59"/>
        <v>1.4833825832048128E-2</v>
      </c>
      <c r="AF146" s="18">
        <f t="shared" si="60"/>
        <v>1.2678087677995664</v>
      </c>
      <c r="AG146" s="18"/>
      <c r="AH146" s="18"/>
      <c r="AI146" s="18">
        <f t="shared" si="43"/>
        <v>0</v>
      </c>
      <c r="AJ146" s="18">
        <f t="shared" si="44"/>
        <v>0</v>
      </c>
      <c r="AK146" s="18"/>
      <c r="AL146" s="18"/>
      <c r="AM146" s="18">
        <f t="shared" si="45"/>
        <v>0</v>
      </c>
      <c r="AN146" s="18">
        <f t="shared" si="46"/>
        <v>0</v>
      </c>
      <c r="AP146">
        <f t="shared" si="61"/>
        <v>0</v>
      </c>
      <c r="AQ146">
        <f t="shared" si="62"/>
        <v>0</v>
      </c>
      <c r="AR146">
        <f t="shared" si="63"/>
        <v>0</v>
      </c>
    </row>
    <row r="147" spans="1:44" x14ac:dyDescent="0.3">
      <c r="A147" s="2" t="s">
        <v>298</v>
      </c>
      <c r="B147" s="2" t="s">
        <v>299</v>
      </c>
      <c r="C147">
        <v>7.9459000000000002E-2</v>
      </c>
      <c r="D147">
        <v>0.12638044055985354</v>
      </c>
      <c r="E147" s="18"/>
      <c r="F147" s="18"/>
      <c r="G147" s="18">
        <f t="shared" si="47"/>
        <v>0</v>
      </c>
      <c r="H147" s="18">
        <f t="shared" si="48"/>
        <v>0</v>
      </c>
      <c r="I147" s="18"/>
      <c r="J147" s="18"/>
      <c r="K147" s="18">
        <f t="shared" si="49"/>
        <v>0</v>
      </c>
      <c r="L147" s="18">
        <f t="shared" si="50"/>
        <v>0</v>
      </c>
      <c r="M147" s="18"/>
      <c r="N147" s="18"/>
      <c r="O147" s="18">
        <f t="shared" si="51"/>
        <v>0</v>
      </c>
      <c r="P147" s="18">
        <f t="shared" si="52"/>
        <v>0</v>
      </c>
      <c r="Q147" s="18"/>
      <c r="R147" s="18"/>
      <c r="S147" s="18">
        <f t="shared" si="53"/>
        <v>0</v>
      </c>
      <c r="T147" s="18">
        <f t="shared" si="54"/>
        <v>0</v>
      </c>
      <c r="U147" s="18"/>
      <c r="V147" s="18"/>
      <c r="W147" s="18">
        <f t="shared" si="55"/>
        <v>0</v>
      </c>
      <c r="X147" s="18">
        <f t="shared" si="56"/>
        <v>0</v>
      </c>
      <c r="Y147" s="18"/>
      <c r="Z147" s="18"/>
      <c r="AA147" s="18">
        <f t="shared" si="57"/>
        <v>0</v>
      </c>
      <c r="AB147" s="18">
        <f t="shared" si="58"/>
        <v>0</v>
      </c>
      <c r="AC147" s="18"/>
      <c r="AD147" s="18"/>
      <c r="AE147" s="18">
        <f t="shared" si="59"/>
        <v>0</v>
      </c>
      <c r="AF147" s="18">
        <f t="shared" si="60"/>
        <v>0</v>
      </c>
      <c r="AG147" s="18"/>
      <c r="AH147" s="18"/>
      <c r="AI147" s="18">
        <f t="shared" si="43"/>
        <v>0</v>
      </c>
      <c r="AJ147" s="18">
        <f t="shared" si="44"/>
        <v>0</v>
      </c>
      <c r="AK147" s="18"/>
      <c r="AL147" s="18"/>
      <c r="AM147" s="18">
        <f t="shared" si="45"/>
        <v>0</v>
      </c>
      <c r="AN147" s="18">
        <f t="shared" si="46"/>
        <v>0</v>
      </c>
      <c r="AP147">
        <f t="shared" si="61"/>
        <v>0</v>
      </c>
      <c r="AQ147">
        <f t="shared" si="62"/>
        <v>0</v>
      </c>
      <c r="AR147">
        <f t="shared" si="63"/>
        <v>0</v>
      </c>
    </row>
    <row r="148" spans="1:44" x14ac:dyDescent="0.3">
      <c r="A148" s="2" t="s">
        <v>300</v>
      </c>
      <c r="B148" s="2" t="s">
        <v>301</v>
      </c>
      <c r="C148">
        <v>2.5799999999999998E-4</v>
      </c>
      <c r="D148">
        <v>1.2498500309491712E-3</v>
      </c>
      <c r="E148" s="18"/>
      <c r="F148" s="18"/>
      <c r="G148" s="18">
        <f t="shared" si="47"/>
        <v>0</v>
      </c>
      <c r="H148" s="18">
        <f t="shared" si="48"/>
        <v>0</v>
      </c>
      <c r="I148" s="18"/>
      <c r="J148" s="18"/>
      <c r="K148" s="18">
        <f t="shared" si="49"/>
        <v>0</v>
      </c>
      <c r="L148" s="18">
        <f t="shared" si="50"/>
        <v>0</v>
      </c>
      <c r="M148" s="18"/>
      <c r="N148" s="18"/>
      <c r="O148" s="18">
        <f t="shared" si="51"/>
        <v>0</v>
      </c>
      <c r="P148" s="18">
        <f t="shared" si="52"/>
        <v>0</v>
      </c>
      <c r="Q148" s="18"/>
      <c r="R148" s="18"/>
      <c r="S148" s="18">
        <f t="shared" si="53"/>
        <v>0</v>
      </c>
      <c r="T148" s="18">
        <f t="shared" si="54"/>
        <v>0</v>
      </c>
      <c r="U148" s="18"/>
      <c r="V148" s="18"/>
      <c r="W148" s="18">
        <f t="shared" si="55"/>
        <v>0</v>
      </c>
      <c r="X148" s="18">
        <f t="shared" si="56"/>
        <v>0</v>
      </c>
      <c r="Y148" s="18"/>
      <c r="Z148" s="18"/>
      <c r="AA148" s="18">
        <f t="shared" si="57"/>
        <v>0</v>
      </c>
      <c r="AB148" s="18">
        <f t="shared" si="58"/>
        <v>0</v>
      </c>
      <c r="AC148" s="18"/>
      <c r="AD148" s="18"/>
      <c r="AE148" s="18">
        <f t="shared" si="59"/>
        <v>0</v>
      </c>
      <c r="AF148" s="18">
        <f t="shared" si="60"/>
        <v>0</v>
      </c>
      <c r="AG148" s="18"/>
      <c r="AH148" s="18"/>
      <c r="AI148" s="18">
        <f t="shared" si="43"/>
        <v>0</v>
      </c>
      <c r="AJ148" s="18">
        <f t="shared" si="44"/>
        <v>0</v>
      </c>
      <c r="AK148" s="18"/>
      <c r="AL148" s="18"/>
      <c r="AM148" s="18">
        <f t="shared" si="45"/>
        <v>0</v>
      </c>
      <c r="AN148" s="18">
        <f t="shared" si="46"/>
        <v>0</v>
      </c>
      <c r="AP148">
        <f t="shared" si="61"/>
        <v>0</v>
      </c>
      <c r="AQ148">
        <f t="shared" si="62"/>
        <v>0</v>
      </c>
      <c r="AR148">
        <f t="shared" si="63"/>
        <v>0</v>
      </c>
    </row>
    <row r="149" spans="1:44" x14ac:dyDescent="0.3">
      <c r="A149" s="2" t="s">
        <v>302</v>
      </c>
      <c r="B149" s="2" t="s">
        <v>303</v>
      </c>
      <c r="C149">
        <v>6.4899999999999995E-4</v>
      </c>
      <c r="D149">
        <v>6.4610899737116423E-4</v>
      </c>
      <c r="E149" s="18"/>
      <c r="F149" s="18"/>
      <c r="G149" s="18">
        <f t="shared" si="47"/>
        <v>0</v>
      </c>
      <c r="H149" s="18">
        <f t="shared" si="48"/>
        <v>0</v>
      </c>
      <c r="I149" s="18"/>
      <c r="J149" s="18"/>
      <c r="K149" s="18">
        <f t="shared" si="49"/>
        <v>0</v>
      </c>
      <c r="L149" s="18">
        <f t="shared" si="50"/>
        <v>0</v>
      </c>
      <c r="M149" s="18"/>
      <c r="N149" s="18"/>
      <c r="O149" s="18">
        <f t="shared" si="51"/>
        <v>0</v>
      </c>
      <c r="P149" s="18">
        <f t="shared" si="52"/>
        <v>0</v>
      </c>
      <c r="Q149" s="18"/>
      <c r="R149" s="18"/>
      <c r="S149" s="18">
        <f t="shared" si="53"/>
        <v>0</v>
      </c>
      <c r="T149" s="18">
        <f t="shared" si="54"/>
        <v>0</v>
      </c>
      <c r="U149" s="18"/>
      <c r="V149" s="18"/>
      <c r="W149" s="18">
        <f t="shared" si="55"/>
        <v>0</v>
      </c>
      <c r="X149" s="18">
        <f t="shared" si="56"/>
        <v>0</v>
      </c>
      <c r="Y149" s="18"/>
      <c r="Z149" s="18"/>
      <c r="AA149" s="18">
        <f t="shared" si="57"/>
        <v>0</v>
      </c>
      <c r="AB149" s="18">
        <f t="shared" si="58"/>
        <v>0</v>
      </c>
      <c r="AC149" s="18"/>
      <c r="AD149" s="18"/>
      <c r="AE149" s="18">
        <f t="shared" si="59"/>
        <v>0</v>
      </c>
      <c r="AF149" s="18">
        <f t="shared" si="60"/>
        <v>0</v>
      </c>
      <c r="AG149" s="18"/>
      <c r="AH149" s="18"/>
      <c r="AI149" s="18">
        <f t="shared" si="43"/>
        <v>0</v>
      </c>
      <c r="AJ149" s="18">
        <f t="shared" si="44"/>
        <v>0</v>
      </c>
      <c r="AK149" s="18"/>
      <c r="AL149" s="18"/>
      <c r="AM149" s="18">
        <f t="shared" si="45"/>
        <v>0</v>
      </c>
      <c r="AN149" s="18">
        <f t="shared" si="46"/>
        <v>0</v>
      </c>
      <c r="AP149">
        <f t="shared" si="61"/>
        <v>0</v>
      </c>
      <c r="AQ149">
        <f t="shared" si="62"/>
        <v>0</v>
      </c>
      <c r="AR149">
        <f t="shared" si="63"/>
        <v>0</v>
      </c>
    </row>
    <row r="150" spans="1:44" x14ac:dyDescent="0.3">
      <c r="A150" s="2" t="s">
        <v>304</v>
      </c>
      <c r="B150" s="2" t="s">
        <v>305</v>
      </c>
      <c r="C150">
        <v>6.4099999999999997E-4</v>
      </c>
      <c r="D150">
        <v>1.6956542077964732E-3</v>
      </c>
      <c r="E150" s="18"/>
      <c r="F150" s="18"/>
      <c r="G150" s="18">
        <f t="shared" si="47"/>
        <v>0</v>
      </c>
      <c r="H150" s="18">
        <f t="shared" si="48"/>
        <v>0</v>
      </c>
      <c r="I150" s="18"/>
      <c r="J150" s="18"/>
      <c r="K150" s="18">
        <f t="shared" si="49"/>
        <v>0</v>
      </c>
      <c r="L150" s="18">
        <f t="shared" si="50"/>
        <v>0</v>
      </c>
      <c r="M150" s="18"/>
      <c r="N150" s="18"/>
      <c r="O150" s="18">
        <f t="shared" si="51"/>
        <v>0</v>
      </c>
      <c r="P150" s="18">
        <f t="shared" si="52"/>
        <v>0</v>
      </c>
      <c r="Q150" s="18"/>
      <c r="R150" s="18"/>
      <c r="S150" s="18">
        <f t="shared" si="53"/>
        <v>0</v>
      </c>
      <c r="T150" s="18">
        <f t="shared" si="54"/>
        <v>0</v>
      </c>
      <c r="U150" s="18"/>
      <c r="V150" s="18"/>
      <c r="W150" s="18">
        <f t="shared" si="55"/>
        <v>0</v>
      </c>
      <c r="X150" s="18">
        <f t="shared" si="56"/>
        <v>0</v>
      </c>
      <c r="Y150" s="18"/>
      <c r="Z150" s="18"/>
      <c r="AA150" s="18">
        <f t="shared" si="57"/>
        <v>0</v>
      </c>
      <c r="AB150" s="18">
        <f t="shared" si="58"/>
        <v>0</v>
      </c>
      <c r="AC150" s="18"/>
      <c r="AD150" s="18"/>
      <c r="AE150" s="18">
        <f t="shared" si="59"/>
        <v>0</v>
      </c>
      <c r="AF150" s="18">
        <f t="shared" si="60"/>
        <v>0</v>
      </c>
      <c r="AG150" s="18"/>
      <c r="AH150" s="18"/>
      <c r="AI150" s="18">
        <f t="shared" si="43"/>
        <v>0</v>
      </c>
      <c r="AJ150" s="18">
        <f t="shared" si="44"/>
        <v>0</v>
      </c>
      <c r="AK150" s="18"/>
      <c r="AL150" s="18"/>
      <c r="AM150" s="18">
        <f t="shared" si="45"/>
        <v>0</v>
      </c>
      <c r="AN150" s="18">
        <f t="shared" si="46"/>
        <v>0</v>
      </c>
      <c r="AP150">
        <f t="shared" si="61"/>
        <v>0</v>
      </c>
      <c r="AQ150">
        <f t="shared" si="62"/>
        <v>0</v>
      </c>
      <c r="AR150">
        <f t="shared" si="63"/>
        <v>0</v>
      </c>
    </row>
    <row r="151" spans="1:44" x14ac:dyDescent="0.3">
      <c r="A151" s="2" t="s">
        <v>306</v>
      </c>
      <c r="B151" s="2" t="s">
        <v>307</v>
      </c>
      <c r="C151">
        <v>3.8430000000000001E-3</v>
      </c>
      <c r="D151">
        <v>4.171844235230592E-3</v>
      </c>
      <c r="E151" s="18"/>
      <c r="F151" s="18"/>
      <c r="G151" s="18">
        <f t="shared" si="47"/>
        <v>0</v>
      </c>
      <c r="H151" s="18">
        <f t="shared" si="48"/>
        <v>0</v>
      </c>
      <c r="I151" s="18"/>
      <c r="J151" s="18"/>
      <c r="K151" s="18">
        <f t="shared" si="49"/>
        <v>0</v>
      </c>
      <c r="L151" s="18">
        <f t="shared" si="50"/>
        <v>0</v>
      </c>
      <c r="M151" s="18"/>
      <c r="N151" s="18"/>
      <c r="O151" s="18">
        <f t="shared" si="51"/>
        <v>0</v>
      </c>
      <c r="P151" s="18">
        <f t="shared" si="52"/>
        <v>0</v>
      </c>
      <c r="Q151" s="18"/>
      <c r="R151" s="18"/>
      <c r="S151" s="18">
        <f t="shared" si="53"/>
        <v>0</v>
      </c>
      <c r="T151" s="18">
        <f t="shared" si="54"/>
        <v>0</v>
      </c>
      <c r="U151" s="18"/>
      <c r="V151" s="18"/>
      <c r="W151" s="18">
        <f t="shared" si="55"/>
        <v>0</v>
      </c>
      <c r="X151" s="18">
        <f t="shared" si="56"/>
        <v>0</v>
      </c>
      <c r="Y151" s="18"/>
      <c r="Z151" s="18"/>
      <c r="AA151" s="18">
        <f t="shared" si="57"/>
        <v>0</v>
      </c>
      <c r="AB151" s="18">
        <f t="shared" si="58"/>
        <v>0</v>
      </c>
      <c r="AC151" s="18"/>
      <c r="AD151" s="18"/>
      <c r="AE151" s="18">
        <f t="shared" si="59"/>
        <v>0</v>
      </c>
      <c r="AF151" s="18">
        <f t="shared" si="60"/>
        <v>0</v>
      </c>
      <c r="AG151" s="18"/>
      <c r="AH151" s="18"/>
      <c r="AI151" s="18">
        <f t="shared" si="43"/>
        <v>0</v>
      </c>
      <c r="AJ151" s="18">
        <f t="shared" si="44"/>
        <v>0</v>
      </c>
      <c r="AK151" s="18">
        <v>6.7387753062071406E-4</v>
      </c>
      <c r="AL151" s="18"/>
      <c r="AM151" s="18">
        <f t="shared" si="45"/>
        <v>2.6955101224828565E-4</v>
      </c>
      <c r="AN151" s="18">
        <f t="shared" si="46"/>
        <v>0.16152988765254475</v>
      </c>
      <c r="AP151">
        <f t="shared" si="61"/>
        <v>0</v>
      </c>
      <c r="AQ151">
        <f t="shared" si="62"/>
        <v>0</v>
      </c>
      <c r="AR151">
        <f t="shared" si="63"/>
        <v>0</v>
      </c>
    </row>
    <row r="152" spans="1:44" x14ac:dyDescent="0.3">
      <c r="A152" s="2" t="s">
        <v>308</v>
      </c>
      <c r="B152" s="2" t="s">
        <v>309</v>
      </c>
      <c r="C152">
        <v>1.5590000000000001E-3</v>
      </c>
      <c r="D152">
        <v>1.5594903451857281E-3</v>
      </c>
      <c r="E152" s="18"/>
      <c r="F152" s="18"/>
      <c r="G152" s="18">
        <f t="shared" si="47"/>
        <v>0</v>
      </c>
      <c r="H152" s="18">
        <f t="shared" si="48"/>
        <v>0</v>
      </c>
      <c r="I152" s="18"/>
      <c r="J152" s="18"/>
      <c r="K152" s="18">
        <f t="shared" si="49"/>
        <v>0</v>
      </c>
      <c r="L152" s="18">
        <f t="shared" si="50"/>
        <v>0</v>
      </c>
      <c r="M152" s="18"/>
      <c r="N152" s="18"/>
      <c r="O152" s="18">
        <f t="shared" si="51"/>
        <v>0</v>
      </c>
      <c r="P152" s="18">
        <f t="shared" si="52"/>
        <v>0</v>
      </c>
      <c r="Q152" s="18"/>
      <c r="R152" s="18"/>
      <c r="S152" s="18">
        <f t="shared" si="53"/>
        <v>0</v>
      </c>
      <c r="T152" s="18">
        <f t="shared" si="54"/>
        <v>0</v>
      </c>
      <c r="U152" s="18"/>
      <c r="V152" s="18"/>
      <c r="W152" s="18">
        <f t="shared" si="55"/>
        <v>0</v>
      </c>
      <c r="X152" s="18">
        <f t="shared" si="56"/>
        <v>0</v>
      </c>
      <c r="Y152" s="18"/>
      <c r="Z152" s="18"/>
      <c r="AA152" s="18">
        <f t="shared" si="57"/>
        <v>0</v>
      </c>
      <c r="AB152" s="18">
        <f t="shared" si="58"/>
        <v>0</v>
      </c>
      <c r="AC152" s="18"/>
      <c r="AD152" s="18"/>
      <c r="AE152" s="18">
        <f t="shared" si="59"/>
        <v>0</v>
      </c>
      <c r="AF152" s="18">
        <f t="shared" si="60"/>
        <v>0</v>
      </c>
      <c r="AG152" s="18"/>
      <c r="AH152" s="18"/>
      <c r="AI152" s="18">
        <f t="shared" si="43"/>
        <v>0</v>
      </c>
      <c r="AJ152" s="18">
        <f t="shared" si="44"/>
        <v>0</v>
      </c>
      <c r="AK152" s="18"/>
      <c r="AL152" s="18"/>
      <c r="AM152" s="18">
        <f t="shared" si="45"/>
        <v>0</v>
      </c>
      <c r="AN152" s="18">
        <f t="shared" si="46"/>
        <v>0</v>
      </c>
      <c r="AP152">
        <f t="shared" si="61"/>
        <v>0</v>
      </c>
      <c r="AQ152">
        <f t="shared" si="62"/>
        <v>0</v>
      </c>
      <c r="AR152">
        <f t="shared" si="63"/>
        <v>0</v>
      </c>
    </row>
    <row r="153" spans="1:44" x14ac:dyDescent="0.3">
      <c r="A153" s="2" t="s">
        <v>310</v>
      </c>
      <c r="B153" s="2" t="s">
        <v>311</v>
      </c>
      <c r="C153">
        <v>1.73E-4</v>
      </c>
      <c r="D153">
        <v>1.7745050065587028E-4</v>
      </c>
      <c r="E153" s="18"/>
      <c r="F153" s="18"/>
      <c r="G153" s="18">
        <f t="shared" si="47"/>
        <v>0</v>
      </c>
      <c r="H153" s="18">
        <f t="shared" si="48"/>
        <v>0</v>
      </c>
      <c r="I153" s="18"/>
      <c r="J153" s="18"/>
      <c r="K153" s="18">
        <f t="shared" si="49"/>
        <v>0</v>
      </c>
      <c r="L153" s="18">
        <f t="shared" si="50"/>
        <v>0</v>
      </c>
      <c r="M153" s="18"/>
      <c r="N153" s="18"/>
      <c r="O153" s="18">
        <f t="shared" si="51"/>
        <v>0</v>
      </c>
      <c r="P153" s="18">
        <f t="shared" si="52"/>
        <v>0</v>
      </c>
      <c r="Q153" s="18"/>
      <c r="R153" s="18"/>
      <c r="S153" s="18">
        <f t="shared" si="53"/>
        <v>0</v>
      </c>
      <c r="T153" s="18">
        <f t="shared" si="54"/>
        <v>0</v>
      </c>
      <c r="U153" s="18"/>
      <c r="V153" s="18"/>
      <c r="W153" s="18">
        <f t="shared" si="55"/>
        <v>0</v>
      </c>
      <c r="X153" s="18">
        <f t="shared" si="56"/>
        <v>0</v>
      </c>
      <c r="Y153" s="18"/>
      <c r="Z153" s="18"/>
      <c r="AA153" s="18">
        <f t="shared" si="57"/>
        <v>0</v>
      </c>
      <c r="AB153" s="18">
        <f t="shared" si="58"/>
        <v>0</v>
      </c>
      <c r="AC153" s="18"/>
      <c r="AD153" s="18"/>
      <c r="AE153" s="18">
        <f t="shared" si="59"/>
        <v>0</v>
      </c>
      <c r="AF153" s="18">
        <f t="shared" si="60"/>
        <v>0</v>
      </c>
      <c r="AG153" s="18"/>
      <c r="AH153" s="18"/>
      <c r="AI153" s="18">
        <f t="shared" si="43"/>
        <v>0</v>
      </c>
      <c r="AJ153" s="18">
        <f t="shared" si="44"/>
        <v>0</v>
      </c>
      <c r="AK153" s="18"/>
      <c r="AL153" s="18"/>
      <c r="AM153" s="18">
        <f t="shared" si="45"/>
        <v>0</v>
      </c>
      <c r="AN153" s="18">
        <f t="shared" si="46"/>
        <v>0</v>
      </c>
      <c r="AP153">
        <f t="shared" si="61"/>
        <v>0</v>
      </c>
      <c r="AQ153">
        <f t="shared" si="62"/>
        <v>0</v>
      </c>
      <c r="AR153">
        <f t="shared" si="63"/>
        <v>0</v>
      </c>
    </row>
    <row r="154" spans="1:44" x14ac:dyDescent="0.3">
      <c r="A154" s="2" t="s">
        <v>312</v>
      </c>
      <c r="B154" s="2" t="s">
        <v>313</v>
      </c>
      <c r="C154">
        <v>0.16516600000000001</v>
      </c>
      <c r="D154">
        <v>0.16516609748525302</v>
      </c>
      <c r="E154" s="18"/>
      <c r="F154" s="18"/>
      <c r="G154" s="18">
        <f t="shared" si="47"/>
        <v>0</v>
      </c>
      <c r="H154" s="18">
        <f t="shared" si="48"/>
        <v>0</v>
      </c>
      <c r="I154" s="18"/>
      <c r="J154" s="18"/>
      <c r="K154" s="18">
        <f t="shared" si="49"/>
        <v>0</v>
      </c>
      <c r="L154" s="18">
        <f t="shared" si="50"/>
        <v>0</v>
      </c>
      <c r="M154" s="18"/>
      <c r="N154" s="18"/>
      <c r="O154" s="18">
        <f t="shared" si="51"/>
        <v>0</v>
      </c>
      <c r="P154" s="18">
        <f t="shared" si="52"/>
        <v>0</v>
      </c>
      <c r="Q154" s="18"/>
      <c r="R154" s="18"/>
      <c r="S154" s="18">
        <f t="shared" si="53"/>
        <v>0</v>
      </c>
      <c r="T154" s="18">
        <f t="shared" si="54"/>
        <v>0</v>
      </c>
      <c r="U154" s="18"/>
      <c r="V154" s="18"/>
      <c r="W154" s="18">
        <f t="shared" si="55"/>
        <v>0</v>
      </c>
      <c r="X154" s="18">
        <f t="shared" si="56"/>
        <v>0</v>
      </c>
      <c r="Y154" s="18"/>
      <c r="Z154" s="18"/>
      <c r="AA154" s="18">
        <f t="shared" si="57"/>
        <v>0</v>
      </c>
      <c r="AB154" s="18">
        <f t="shared" si="58"/>
        <v>0</v>
      </c>
      <c r="AC154" s="18"/>
      <c r="AD154" s="18"/>
      <c r="AE154" s="18">
        <f t="shared" si="59"/>
        <v>0</v>
      </c>
      <c r="AF154" s="18">
        <f t="shared" si="60"/>
        <v>0</v>
      </c>
      <c r="AG154" s="18"/>
      <c r="AH154" s="18"/>
      <c r="AI154" s="18">
        <f t="shared" si="43"/>
        <v>0</v>
      </c>
      <c r="AJ154" s="18">
        <f t="shared" si="44"/>
        <v>0</v>
      </c>
      <c r="AK154" s="18"/>
      <c r="AL154" s="18"/>
      <c r="AM154" s="18">
        <f t="shared" si="45"/>
        <v>0</v>
      </c>
      <c r="AN154" s="18">
        <f t="shared" si="46"/>
        <v>0</v>
      </c>
      <c r="AP154">
        <f t="shared" si="61"/>
        <v>0</v>
      </c>
      <c r="AQ154">
        <f t="shared" si="62"/>
        <v>0</v>
      </c>
      <c r="AR154">
        <f t="shared" si="63"/>
        <v>0</v>
      </c>
    </row>
    <row r="155" spans="1:44" x14ac:dyDescent="0.3">
      <c r="A155" s="2" t="s">
        <v>314</v>
      </c>
      <c r="B155" s="2" t="s">
        <v>315</v>
      </c>
      <c r="C155">
        <v>2.6700000000000001E-3</v>
      </c>
      <c r="D155">
        <v>3.8191626009075699E-3</v>
      </c>
      <c r="E155" s="18"/>
      <c r="F155" s="18"/>
      <c r="G155" s="18">
        <f t="shared" si="47"/>
        <v>0</v>
      </c>
      <c r="H155" s="18">
        <f t="shared" si="48"/>
        <v>0</v>
      </c>
      <c r="I155" s="18">
        <v>4.2045454545454539E-3</v>
      </c>
      <c r="J155" s="18"/>
      <c r="K155" s="18">
        <f t="shared" si="49"/>
        <v>2.1022727272727269E-3</v>
      </c>
      <c r="L155" s="18">
        <f t="shared" si="50"/>
        <v>1.1009076841992282</v>
      </c>
      <c r="M155" s="18">
        <v>1.4963590113812174E-2</v>
      </c>
      <c r="N155" s="18"/>
      <c r="O155" s="18">
        <f t="shared" si="51"/>
        <v>3.7408975284530434E-3</v>
      </c>
      <c r="P155" s="18">
        <f t="shared" si="52"/>
        <v>3.918029075341356</v>
      </c>
      <c r="Q155" s="18"/>
      <c r="R155" s="18"/>
      <c r="S155" s="18">
        <f t="shared" si="53"/>
        <v>0</v>
      </c>
      <c r="T155" s="18">
        <f t="shared" si="54"/>
        <v>0</v>
      </c>
      <c r="U155" s="18">
        <v>9.2176686613896727E-4</v>
      </c>
      <c r="V155" s="18"/>
      <c r="W155" s="18">
        <f t="shared" si="55"/>
        <v>3.6870674645558691E-4</v>
      </c>
      <c r="X155" s="18">
        <f t="shared" si="56"/>
        <v>0.24135313482592294</v>
      </c>
      <c r="Y155" s="18"/>
      <c r="Z155" s="18"/>
      <c r="AA155" s="18">
        <f t="shared" si="57"/>
        <v>0</v>
      </c>
      <c r="AB155" s="18">
        <f t="shared" si="58"/>
        <v>0</v>
      </c>
      <c r="AC155" s="18"/>
      <c r="AD155" s="18"/>
      <c r="AE155" s="18">
        <f t="shared" si="59"/>
        <v>0</v>
      </c>
      <c r="AF155" s="18">
        <f t="shared" si="60"/>
        <v>0</v>
      </c>
      <c r="AG155" s="18"/>
      <c r="AH155" s="18"/>
      <c r="AI155" s="18">
        <f t="shared" si="43"/>
        <v>0</v>
      </c>
      <c r="AJ155" s="18">
        <f t="shared" si="44"/>
        <v>0</v>
      </c>
      <c r="AK155" s="18"/>
      <c r="AL155" s="18"/>
      <c r="AM155" s="18">
        <f t="shared" si="45"/>
        <v>0</v>
      </c>
      <c r="AN155" s="18">
        <f t="shared" si="46"/>
        <v>0</v>
      </c>
      <c r="AP155">
        <f t="shared" si="61"/>
        <v>2.1022727272727269E-3</v>
      </c>
      <c r="AQ155">
        <f t="shared" si="62"/>
        <v>1.0511363636363635E-3</v>
      </c>
      <c r="AR155">
        <f t="shared" si="63"/>
        <v>1.0511363636363635E-3</v>
      </c>
    </row>
    <row r="156" spans="1:44" x14ac:dyDescent="0.3">
      <c r="A156" s="2" t="s">
        <v>316</v>
      </c>
      <c r="B156" s="2" t="s">
        <v>317</v>
      </c>
      <c r="C156">
        <v>3.2699999999999998E-4</v>
      </c>
      <c r="D156">
        <v>5.113932938019067E-4</v>
      </c>
      <c r="E156" s="18"/>
      <c r="F156" s="18"/>
      <c r="G156" s="18">
        <f t="shared" si="47"/>
        <v>0</v>
      </c>
      <c r="H156" s="18">
        <f t="shared" si="48"/>
        <v>0</v>
      </c>
      <c r="I156" s="18"/>
      <c r="J156" s="18"/>
      <c r="K156" s="18">
        <f t="shared" si="49"/>
        <v>0</v>
      </c>
      <c r="L156" s="18">
        <f t="shared" si="50"/>
        <v>0</v>
      </c>
      <c r="M156" s="18">
        <v>2.7995491326121932E-4</v>
      </c>
      <c r="N156" s="18"/>
      <c r="O156" s="18">
        <f t="shared" si="51"/>
        <v>6.9988728315304829E-5</v>
      </c>
      <c r="P156" s="18">
        <f t="shared" si="52"/>
        <v>0.54743563643535509</v>
      </c>
      <c r="Q156" s="18"/>
      <c r="R156" s="18"/>
      <c r="S156" s="18">
        <f t="shared" si="53"/>
        <v>0</v>
      </c>
      <c r="T156" s="18">
        <f t="shared" si="54"/>
        <v>0</v>
      </c>
      <c r="U156" s="18"/>
      <c r="V156" s="18"/>
      <c r="W156" s="18">
        <f t="shared" si="55"/>
        <v>0</v>
      </c>
      <c r="X156" s="18">
        <f t="shared" si="56"/>
        <v>0</v>
      </c>
      <c r="Y156" s="18"/>
      <c r="Z156" s="18"/>
      <c r="AA156" s="18">
        <f t="shared" si="57"/>
        <v>0</v>
      </c>
      <c r="AB156" s="18">
        <f t="shared" si="58"/>
        <v>0</v>
      </c>
      <c r="AC156" s="18"/>
      <c r="AD156" s="18"/>
      <c r="AE156" s="18">
        <f t="shared" si="59"/>
        <v>0</v>
      </c>
      <c r="AF156" s="18">
        <f t="shared" si="60"/>
        <v>0</v>
      </c>
      <c r="AG156" s="18"/>
      <c r="AH156" s="18"/>
      <c r="AI156" s="18">
        <f t="shared" si="43"/>
        <v>0</v>
      </c>
      <c r="AJ156" s="18">
        <f t="shared" si="44"/>
        <v>0</v>
      </c>
      <c r="AK156" s="18"/>
      <c r="AL156" s="18"/>
      <c r="AM156" s="18">
        <f t="shared" si="45"/>
        <v>0</v>
      </c>
      <c r="AN156" s="18">
        <f t="shared" si="46"/>
        <v>0</v>
      </c>
      <c r="AP156">
        <f t="shared" si="61"/>
        <v>0</v>
      </c>
      <c r="AQ156">
        <f t="shared" si="62"/>
        <v>0</v>
      </c>
      <c r="AR156">
        <f t="shared" si="63"/>
        <v>0</v>
      </c>
    </row>
    <row r="157" spans="1:44" x14ac:dyDescent="0.3">
      <c r="A157" s="2" t="s">
        <v>318</v>
      </c>
      <c r="B157" s="2" t="s">
        <v>319</v>
      </c>
      <c r="C157">
        <v>4.5000000000000003E-5</v>
      </c>
      <c r="D157">
        <v>4.4634378603528675E-5</v>
      </c>
      <c r="E157" s="18"/>
      <c r="F157" s="18"/>
      <c r="G157" s="18">
        <f t="shared" si="47"/>
        <v>0</v>
      </c>
      <c r="H157" s="18">
        <f t="shared" si="48"/>
        <v>0</v>
      </c>
      <c r="I157" s="18"/>
      <c r="J157" s="18"/>
      <c r="K157" s="18">
        <f t="shared" si="49"/>
        <v>0</v>
      </c>
      <c r="L157" s="18">
        <f t="shared" si="50"/>
        <v>0</v>
      </c>
      <c r="M157" s="18"/>
      <c r="N157" s="18"/>
      <c r="O157" s="18">
        <f t="shared" si="51"/>
        <v>0</v>
      </c>
      <c r="P157" s="18">
        <f t="shared" si="52"/>
        <v>0</v>
      </c>
      <c r="Q157" s="18"/>
      <c r="R157" s="18"/>
      <c r="S157" s="18">
        <f t="shared" si="53"/>
        <v>0</v>
      </c>
      <c r="T157" s="18">
        <f t="shared" si="54"/>
        <v>0</v>
      </c>
      <c r="U157" s="18"/>
      <c r="V157" s="18"/>
      <c r="W157" s="18">
        <f t="shared" si="55"/>
        <v>0</v>
      </c>
      <c r="X157" s="18">
        <f t="shared" si="56"/>
        <v>0</v>
      </c>
      <c r="Y157" s="18"/>
      <c r="Z157" s="18"/>
      <c r="AA157" s="18">
        <f t="shared" si="57"/>
        <v>0</v>
      </c>
      <c r="AB157" s="18">
        <f t="shared" si="58"/>
        <v>0</v>
      </c>
      <c r="AC157" s="18"/>
      <c r="AD157" s="18"/>
      <c r="AE157" s="18">
        <f t="shared" si="59"/>
        <v>0</v>
      </c>
      <c r="AF157" s="18">
        <f t="shared" si="60"/>
        <v>0</v>
      </c>
      <c r="AG157" s="18"/>
      <c r="AH157" s="18"/>
      <c r="AI157" s="18">
        <f t="shared" si="43"/>
        <v>0</v>
      </c>
      <c r="AJ157" s="18">
        <f t="shared" si="44"/>
        <v>0</v>
      </c>
      <c r="AK157" s="18"/>
      <c r="AL157" s="18"/>
      <c r="AM157" s="18">
        <f t="shared" si="45"/>
        <v>0</v>
      </c>
      <c r="AN157" s="18">
        <f t="shared" si="46"/>
        <v>0</v>
      </c>
      <c r="AP157">
        <f t="shared" si="61"/>
        <v>0</v>
      </c>
      <c r="AQ157">
        <f t="shared" si="62"/>
        <v>0</v>
      </c>
      <c r="AR157">
        <f t="shared" si="63"/>
        <v>0</v>
      </c>
    </row>
    <row r="158" spans="1:44" x14ac:dyDescent="0.3">
      <c r="A158" s="2" t="s">
        <v>320</v>
      </c>
      <c r="B158" s="2" t="s">
        <v>321</v>
      </c>
      <c r="C158">
        <v>4.6309000000000003E-2</v>
      </c>
      <c r="D158">
        <v>7.0320164458784473E-2</v>
      </c>
      <c r="E158" s="18">
        <v>1.3971602717476729E-2</v>
      </c>
      <c r="F158" s="18"/>
      <c r="G158" s="18">
        <f t="shared" si="47"/>
        <v>8.3829616304860362E-3</v>
      </c>
      <c r="H158" s="18">
        <f t="shared" si="48"/>
        <v>0.19868558080044962</v>
      </c>
      <c r="I158" s="18"/>
      <c r="J158" s="18"/>
      <c r="K158" s="18">
        <f t="shared" si="49"/>
        <v>0</v>
      </c>
      <c r="L158" s="18">
        <f t="shared" si="50"/>
        <v>0</v>
      </c>
      <c r="M158" s="18"/>
      <c r="N158" s="18"/>
      <c r="O158" s="18">
        <f t="shared" si="51"/>
        <v>0</v>
      </c>
      <c r="P158" s="18">
        <f t="shared" si="52"/>
        <v>0</v>
      </c>
      <c r="Q158" s="18">
        <v>2.886661609414545E-2</v>
      </c>
      <c r="R158" s="18"/>
      <c r="S158" s="18">
        <f t="shared" si="53"/>
        <v>8.6599848282436342E-3</v>
      </c>
      <c r="T158" s="18">
        <f t="shared" si="54"/>
        <v>0.41050268178858618</v>
      </c>
      <c r="U158" s="18"/>
      <c r="V158" s="18"/>
      <c r="W158" s="18">
        <f t="shared" si="55"/>
        <v>0</v>
      </c>
      <c r="X158" s="18">
        <f t="shared" si="56"/>
        <v>0</v>
      </c>
      <c r="Y158" s="18"/>
      <c r="Z158" s="18"/>
      <c r="AA158" s="18">
        <f t="shared" si="57"/>
        <v>0</v>
      </c>
      <c r="AB158" s="18">
        <f t="shared" si="58"/>
        <v>0</v>
      </c>
      <c r="AC158">
        <v>1.7659316466723963E-2</v>
      </c>
      <c r="AD158" s="18"/>
      <c r="AE158" s="18">
        <f t="shared" si="59"/>
        <v>8.8296582333619814E-3</v>
      </c>
      <c r="AF158" s="18">
        <f t="shared" si="60"/>
        <v>0.25112734878591347</v>
      </c>
      <c r="AG158" s="18"/>
      <c r="AH158" s="18"/>
      <c r="AI158" s="18">
        <f t="shared" si="43"/>
        <v>0</v>
      </c>
      <c r="AJ158" s="18">
        <f t="shared" si="44"/>
        <v>0</v>
      </c>
      <c r="AK158" s="18">
        <v>1.1970648141024595E-2</v>
      </c>
      <c r="AL158" s="18"/>
      <c r="AM158" s="18">
        <f t="shared" si="45"/>
        <v>4.7882592564098382E-3</v>
      </c>
      <c r="AN158" s="18">
        <f t="shared" si="46"/>
        <v>0.17023066190410777</v>
      </c>
      <c r="AP158">
        <f t="shared" si="61"/>
        <v>8.3829616304860362E-3</v>
      </c>
      <c r="AQ158">
        <f t="shared" si="62"/>
        <v>4.1914808152430181E-3</v>
      </c>
      <c r="AR158">
        <f t="shared" si="63"/>
        <v>4.1914808152430181E-3</v>
      </c>
    </row>
    <row r="159" spans="1:44" x14ac:dyDescent="0.3">
      <c r="A159" s="2" t="s">
        <v>322</v>
      </c>
      <c r="B159" s="2" t="s">
        <v>323</v>
      </c>
      <c r="C159">
        <v>9.68E-4</v>
      </c>
      <c r="D159">
        <v>9.680006637718836E-4</v>
      </c>
      <c r="E159" s="18"/>
      <c r="F159" s="18"/>
      <c r="G159" s="18">
        <f t="shared" si="47"/>
        <v>0</v>
      </c>
      <c r="H159" s="18">
        <f t="shared" si="48"/>
        <v>0</v>
      </c>
      <c r="I159" s="18"/>
      <c r="J159" s="18"/>
      <c r="K159" s="18">
        <f t="shared" si="49"/>
        <v>0</v>
      </c>
      <c r="L159" s="18">
        <f t="shared" si="50"/>
        <v>0</v>
      </c>
      <c r="M159" s="18"/>
      <c r="N159" s="18"/>
      <c r="O159" s="18">
        <f t="shared" si="51"/>
        <v>0</v>
      </c>
      <c r="P159" s="18">
        <f t="shared" si="52"/>
        <v>0</v>
      </c>
      <c r="Q159" s="18"/>
      <c r="R159" s="18"/>
      <c r="S159" s="18">
        <f t="shared" si="53"/>
        <v>0</v>
      </c>
      <c r="T159" s="18">
        <f t="shared" si="54"/>
        <v>0</v>
      </c>
      <c r="U159" s="18"/>
      <c r="V159" s="18"/>
      <c r="W159" s="18">
        <f t="shared" si="55"/>
        <v>0</v>
      </c>
      <c r="X159" s="18">
        <f t="shared" si="56"/>
        <v>0</v>
      </c>
      <c r="Y159" s="18"/>
      <c r="Z159" s="18"/>
      <c r="AA159" s="18">
        <f t="shared" si="57"/>
        <v>0</v>
      </c>
      <c r="AB159" s="18">
        <f t="shared" si="58"/>
        <v>0</v>
      </c>
      <c r="AC159" s="18"/>
      <c r="AD159" s="18"/>
      <c r="AE159" s="18">
        <f t="shared" si="59"/>
        <v>0</v>
      </c>
      <c r="AF159" s="18">
        <f t="shared" si="60"/>
        <v>0</v>
      </c>
      <c r="AG159" s="18"/>
      <c r="AH159" s="18"/>
      <c r="AI159" s="18">
        <f t="shared" si="43"/>
        <v>0</v>
      </c>
      <c r="AJ159" s="18">
        <f t="shared" si="44"/>
        <v>0</v>
      </c>
      <c r="AK159" s="18"/>
      <c r="AL159" s="18"/>
      <c r="AM159" s="18">
        <f t="shared" si="45"/>
        <v>0</v>
      </c>
      <c r="AN159" s="18">
        <f t="shared" si="46"/>
        <v>0</v>
      </c>
      <c r="AP159">
        <f t="shared" si="61"/>
        <v>0</v>
      </c>
      <c r="AQ159">
        <f t="shared" si="62"/>
        <v>0</v>
      </c>
      <c r="AR159">
        <f t="shared" si="63"/>
        <v>0</v>
      </c>
    </row>
    <row r="160" spans="1:44" x14ac:dyDescent="0.3">
      <c r="A160" s="2" t="s">
        <v>324</v>
      </c>
      <c r="B160" s="2" t="s">
        <v>325</v>
      </c>
      <c r="C160">
        <v>4.7100000000000001E-4</v>
      </c>
      <c r="D160">
        <v>2.1500290253918426E-4</v>
      </c>
      <c r="E160" s="18"/>
      <c r="F160" s="18"/>
      <c r="G160" s="18">
        <f t="shared" si="47"/>
        <v>0</v>
      </c>
      <c r="H160" s="18">
        <f t="shared" si="48"/>
        <v>0</v>
      </c>
      <c r="I160" s="18"/>
      <c r="J160" s="18"/>
      <c r="K160" s="18">
        <f t="shared" si="49"/>
        <v>0</v>
      </c>
      <c r="L160" s="18">
        <f t="shared" si="50"/>
        <v>0</v>
      </c>
      <c r="M160" s="18"/>
      <c r="N160" s="18"/>
      <c r="O160" s="18">
        <f t="shared" si="51"/>
        <v>0</v>
      </c>
      <c r="P160" s="18">
        <f t="shared" si="52"/>
        <v>0</v>
      </c>
      <c r="Q160" s="18"/>
      <c r="R160" s="18"/>
      <c r="S160" s="18">
        <f t="shared" si="53"/>
        <v>0</v>
      </c>
      <c r="T160" s="18">
        <f t="shared" si="54"/>
        <v>0</v>
      </c>
      <c r="U160" s="18"/>
      <c r="V160" s="18"/>
      <c r="W160" s="18">
        <f t="shared" si="55"/>
        <v>0</v>
      </c>
      <c r="X160" s="18">
        <f t="shared" si="56"/>
        <v>0</v>
      </c>
      <c r="Y160" s="18"/>
      <c r="Z160" s="18"/>
      <c r="AA160" s="18">
        <f t="shared" si="57"/>
        <v>0</v>
      </c>
      <c r="AB160" s="18">
        <f t="shared" si="58"/>
        <v>0</v>
      </c>
      <c r="AC160" s="18"/>
      <c r="AD160" s="18"/>
      <c r="AE160" s="18">
        <f t="shared" si="59"/>
        <v>0</v>
      </c>
      <c r="AF160" s="18">
        <f t="shared" si="60"/>
        <v>0</v>
      </c>
      <c r="AG160" s="18"/>
      <c r="AH160" s="18"/>
      <c r="AI160" s="18">
        <f t="shared" si="43"/>
        <v>0</v>
      </c>
      <c r="AJ160" s="18">
        <f t="shared" si="44"/>
        <v>0</v>
      </c>
      <c r="AK160" s="18"/>
      <c r="AL160" s="18"/>
      <c r="AM160" s="18">
        <f t="shared" si="45"/>
        <v>0</v>
      </c>
      <c r="AN160" s="18">
        <f t="shared" si="46"/>
        <v>0</v>
      </c>
      <c r="AP160">
        <f t="shared" si="61"/>
        <v>0</v>
      </c>
      <c r="AQ160">
        <f t="shared" si="62"/>
        <v>0</v>
      </c>
      <c r="AR160">
        <f t="shared" si="63"/>
        <v>0</v>
      </c>
    </row>
    <row r="161" spans="1:44" x14ac:dyDescent="0.3">
      <c r="A161" s="2" t="s">
        <v>326</v>
      </c>
      <c r="B161" s="2" t="s">
        <v>327</v>
      </c>
      <c r="C161">
        <v>2.0000000000000002E-5</v>
      </c>
      <c r="D161">
        <v>2.2797200171964262E-5</v>
      </c>
      <c r="E161" s="18"/>
      <c r="F161" s="18"/>
      <c r="G161" s="18">
        <f t="shared" si="47"/>
        <v>0</v>
      </c>
      <c r="H161" s="18">
        <f t="shared" si="48"/>
        <v>0</v>
      </c>
      <c r="I161" s="18"/>
      <c r="J161" s="18"/>
      <c r="K161" s="18">
        <f t="shared" si="49"/>
        <v>0</v>
      </c>
      <c r="L161" s="18">
        <f t="shared" si="50"/>
        <v>0</v>
      </c>
      <c r="M161" s="18"/>
      <c r="N161" s="18"/>
      <c r="O161" s="18">
        <f t="shared" si="51"/>
        <v>0</v>
      </c>
      <c r="P161" s="18">
        <f t="shared" si="52"/>
        <v>0</v>
      </c>
      <c r="Q161" s="18"/>
      <c r="R161" s="18"/>
      <c r="S161" s="18">
        <f t="shared" si="53"/>
        <v>0</v>
      </c>
      <c r="T161" s="18">
        <f t="shared" si="54"/>
        <v>0</v>
      </c>
      <c r="U161" s="18"/>
      <c r="V161" s="18"/>
      <c r="W161" s="18">
        <f t="shared" si="55"/>
        <v>0</v>
      </c>
      <c r="X161" s="18">
        <f t="shared" si="56"/>
        <v>0</v>
      </c>
      <c r="Y161" s="18">
        <v>6.5047208011214138E-6</v>
      </c>
      <c r="Z161" s="18"/>
      <c r="AA161" s="18">
        <f t="shared" si="57"/>
        <v>3.2523604005607069E-6</v>
      </c>
      <c r="AB161" s="18">
        <f t="shared" si="58"/>
        <v>0.28532981032999155</v>
      </c>
      <c r="AC161" s="18"/>
      <c r="AD161" s="18"/>
      <c r="AE161" s="18">
        <f t="shared" si="59"/>
        <v>0</v>
      </c>
      <c r="AF161" s="18">
        <f t="shared" si="60"/>
        <v>0</v>
      </c>
      <c r="AG161" s="18"/>
      <c r="AH161" s="18"/>
      <c r="AI161" s="18">
        <f t="shared" si="43"/>
        <v>0</v>
      </c>
      <c r="AJ161" s="18">
        <f t="shared" si="44"/>
        <v>0</v>
      </c>
      <c r="AK161" s="18"/>
      <c r="AL161" s="18"/>
      <c r="AM161" s="18">
        <f t="shared" si="45"/>
        <v>0</v>
      </c>
      <c r="AN161" s="18">
        <f t="shared" si="46"/>
        <v>0</v>
      </c>
      <c r="AP161">
        <f t="shared" si="61"/>
        <v>0</v>
      </c>
      <c r="AQ161">
        <f t="shared" si="62"/>
        <v>0</v>
      </c>
      <c r="AR161">
        <f t="shared" si="63"/>
        <v>0</v>
      </c>
    </row>
    <row r="162" spans="1:44" x14ac:dyDescent="0.3">
      <c r="A162" s="2" t="s">
        <v>328</v>
      </c>
      <c r="B162" s="2" t="s">
        <v>329</v>
      </c>
      <c r="C162">
        <v>2.183E-3</v>
      </c>
      <c r="D162">
        <v>2.9202818385932871E-3</v>
      </c>
      <c r="E162" s="18"/>
      <c r="F162" s="18"/>
      <c r="G162" s="18">
        <f t="shared" si="47"/>
        <v>0</v>
      </c>
      <c r="H162" s="18">
        <f t="shared" si="48"/>
        <v>0</v>
      </c>
      <c r="I162" s="18"/>
      <c r="J162" s="18"/>
      <c r="K162" s="18">
        <f t="shared" si="49"/>
        <v>0</v>
      </c>
      <c r="L162" s="18">
        <f t="shared" si="50"/>
        <v>0</v>
      </c>
      <c r="M162" s="18"/>
      <c r="N162" s="18"/>
      <c r="O162" s="18">
        <f t="shared" si="51"/>
        <v>0</v>
      </c>
      <c r="P162" s="18">
        <f t="shared" si="52"/>
        <v>0</v>
      </c>
      <c r="Q162" s="18"/>
      <c r="R162" s="18"/>
      <c r="S162" s="18">
        <f t="shared" si="53"/>
        <v>0</v>
      </c>
      <c r="T162" s="18">
        <f t="shared" si="54"/>
        <v>0</v>
      </c>
      <c r="U162" s="18"/>
      <c r="V162" s="18"/>
      <c r="W162" s="18">
        <f t="shared" si="55"/>
        <v>0</v>
      </c>
      <c r="X162" s="18">
        <f t="shared" si="56"/>
        <v>0</v>
      </c>
      <c r="Y162" s="18"/>
      <c r="Z162" s="18"/>
      <c r="AA162" s="18">
        <f t="shared" si="57"/>
        <v>0</v>
      </c>
      <c r="AB162" s="18">
        <f t="shared" si="58"/>
        <v>0</v>
      </c>
      <c r="AC162" s="18"/>
      <c r="AD162" s="18"/>
      <c r="AE162" s="18">
        <f t="shared" si="59"/>
        <v>0</v>
      </c>
      <c r="AF162" s="18">
        <f t="shared" si="60"/>
        <v>0</v>
      </c>
      <c r="AG162" s="18"/>
      <c r="AH162" s="18"/>
      <c r="AI162" s="18">
        <f t="shared" si="43"/>
        <v>0</v>
      </c>
      <c r="AJ162" s="18">
        <f t="shared" si="44"/>
        <v>0</v>
      </c>
      <c r="AK162" s="18"/>
      <c r="AL162" s="18"/>
      <c r="AM162" s="18">
        <f t="shared" si="45"/>
        <v>0</v>
      </c>
      <c r="AN162" s="18">
        <f t="shared" si="46"/>
        <v>0</v>
      </c>
      <c r="AP162">
        <f t="shared" si="61"/>
        <v>0</v>
      </c>
      <c r="AQ162">
        <f t="shared" si="62"/>
        <v>0</v>
      </c>
      <c r="AR162">
        <f t="shared" si="63"/>
        <v>0</v>
      </c>
    </row>
    <row r="163" spans="1:44" x14ac:dyDescent="0.3">
      <c r="A163" s="2" t="s">
        <v>330</v>
      </c>
      <c r="B163" s="2" t="s">
        <v>331</v>
      </c>
      <c r="C163">
        <v>2.1710000000000002E-3</v>
      </c>
      <c r="D163">
        <v>2.4135339800355313E-3</v>
      </c>
      <c r="E163" s="18"/>
      <c r="F163" s="18"/>
      <c r="G163" s="18">
        <f t="shared" si="47"/>
        <v>0</v>
      </c>
      <c r="H163" s="18">
        <f t="shared" si="48"/>
        <v>0</v>
      </c>
      <c r="I163" s="18"/>
      <c r="J163" s="18"/>
      <c r="K163" s="18">
        <f t="shared" si="49"/>
        <v>0</v>
      </c>
      <c r="L163" s="18">
        <f t="shared" si="50"/>
        <v>0</v>
      </c>
      <c r="M163" s="18"/>
      <c r="N163" s="18"/>
      <c r="O163" s="18">
        <f t="shared" si="51"/>
        <v>0</v>
      </c>
      <c r="P163" s="18">
        <f t="shared" si="52"/>
        <v>0</v>
      </c>
      <c r="Q163" s="18"/>
      <c r="R163" s="18"/>
      <c r="S163" s="18">
        <f t="shared" si="53"/>
        <v>0</v>
      </c>
      <c r="T163" s="18">
        <f t="shared" si="54"/>
        <v>0</v>
      </c>
      <c r="U163" s="18"/>
      <c r="V163" s="18"/>
      <c r="W163" s="18">
        <f t="shared" si="55"/>
        <v>0</v>
      </c>
      <c r="X163" s="18">
        <f t="shared" si="56"/>
        <v>0</v>
      </c>
      <c r="Y163" s="18"/>
      <c r="Z163" s="18"/>
      <c r="AA163" s="18">
        <f t="shared" si="57"/>
        <v>0</v>
      </c>
      <c r="AB163" s="18">
        <f t="shared" si="58"/>
        <v>0</v>
      </c>
      <c r="AC163" s="18"/>
      <c r="AD163" s="18"/>
      <c r="AE163" s="18">
        <f t="shared" si="59"/>
        <v>0</v>
      </c>
      <c r="AF163" s="18">
        <f t="shared" si="60"/>
        <v>0</v>
      </c>
      <c r="AG163" s="18"/>
      <c r="AH163" s="18"/>
      <c r="AI163" s="18">
        <f t="shared" si="43"/>
        <v>0</v>
      </c>
      <c r="AJ163" s="18">
        <f t="shared" si="44"/>
        <v>0</v>
      </c>
      <c r="AK163" s="18"/>
      <c r="AL163" s="18"/>
      <c r="AM163" s="18">
        <f t="shared" si="45"/>
        <v>0</v>
      </c>
      <c r="AN163" s="18">
        <f t="shared" si="46"/>
        <v>0</v>
      </c>
      <c r="AP163">
        <f t="shared" si="61"/>
        <v>0</v>
      </c>
      <c r="AQ163">
        <f t="shared" si="62"/>
        <v>0</v>
      </c>
      <c r="AR163">
        <f t="shared" si="63"/>
        <v>0</v>
      </c>
    </row>
    <row r="164" spans="1:44" x14ac:dyDescent="0.3">
      <c r="A164" s="2" t="s">
        <v>332</v>
      </c>
      <c r="B164" s="2" t="s">
        <v>333</v>
      </c>
      <c r="C164">
        <v>1.4526000000000001E-2</v>
      </c>
      <c r="D164">
        <v>1.7324827958049915E-2</v>
      </c>
      <c r="E164" s="18"/>
      <c r="F164" s="18"/>
      <c r="G164" s="18">
        <f t="shared" si="47"/>
        <v>0</v>
      </c>
      <c r="H164" s="18">
        <f t="shared" si="48"/>
        <v>0</v>
      </c>
      <c r="I164" s="18"/>
      <c r="J164" s="18"/>
      <c r="K164" s="18">
        <f t="shared" si="49"/>
        <v>0</v>
      </c>
      <c r="L164" s="18">
        <f t="shared" si="50"/>
        <v>0</v>
      </c>
      <c r="M164" s="18"/>
      <c r="N164" s="18"/>
      <c r="O164" s="18">
        <f t="shared" si="51"/>
        <v>0</v>
      </c>
      <c r="P164" s="18">
        <f t="shared" si="52"/>
        <v>0</v>
      </c>
      <c r="Q164" s="18"/>
      <c r="R164" s="18"/>
      <c r="S164" s="18">
        <f t="shared" si="53"/>
        <v>0</v>
      </c>
      <c r="T164" s="18">
        <f t="shared" si="54"/>
        <v>0</v>
      </c>
      <c r="U164" s="18"/>
      <c r="V164" s="18"/>
      <c r="W164" s="18">
        <f t="shared" si="55"/>
        <v>0</v>
      </c>
      <c r="X164" s="18">
        <f t="shared" si="56"/>
        <v>0</v>
      </c>
      <c r="Y164" s="18"/>
      <c r="Z164" s="18"/>
      <c r="AA164" s="18">
        <f t="shared" si="57"/>
        <v>0</v>
      </c>
      <c r="AB164" s="18">
        <f t="shared" si="58"/>
        <v>0</v>
      </c>
      <c r="AC164" s="18"/>
      <c r="AD164" s="18"/>
      <c r="AE164" s="18">
        <f t="shared" si="59"/>
        <v>0</v>
      </c>
      <c r="AF164" s="18">
        <f t="shared" si="60"/>
        <v>0</v>
      </c>
      <c r="AG164" s="18"/>
      <c r="AH164" s="18"/>
      <c r="AI164" s="18">
        <f t="shared" si="43"/>
        <v>0</v>
      </c>
      <c r="AJ164" s="18">
        <f t="shared" si="44"/>
        <v>0</v>
      </c>
      <c r="AK164" s="18"/>
      <c r="AL164" s="18"/>
      <c r="AM164" s="18">
        <f t="shared" si="45"/>
        <v>0</v>
      </c>
      <c r="AN164" s="18">
        <f t="shared" si="46"/>
        <v>0</v>
      </c>
      <c r="AP164">
        <f t="shared" si="61"/>
        <v>0</v>
      </c>
      <c r="AQ164">
        <f t="shared" si="62"/>
        <v>0</v>
      </c>
      <c r="AR164">
        <f t="shared" si="63"/>
        <v>0</v>
      </c>
    </row>
    <row r="165" spans="1:44" x14ac:dyDescent="0.3">
      <c r="A165" s="2" t="s">
        <v>334</v>
      </c>
      <c r="B165" s="2" t="s">
        <v>335</v>
      </c>
      <c r="C165">
        <v>9.4509999999999993E-3</v>
      </c>
      <c r="D165">
        <v>8.3158646951463321E-3</v>
      </c>
      <c r="E165" s="18"/>
      <c r="F165" s="18"/>
      <c r="G165" s="18">
        <f t="shared" si="47"/>
        <v>0</v>
      </c>
      <c r="H165" s="18">
        <f t="shared" si="48"/>
        <v>0</v>
      </c>
      <c r="I165" s="18"/>
      <c r="J165" s="18"/>
      <c r="K165" s="18">
        <f t="shared" si="49"/>
        <v>0</v>
      </c>
      <c r="L165" s="18">
        <f t="shared" si="50"/>
        <v>0</v>
      </c>
      <c r="M165" s="18"/>
      <c r="N165" s="18"/>
      <c r="O165" s="18">
        <f t="shared" si="51"/>
        <v>0</v>
      </c>
      <c r="P165" s="18">
        <f t="shared" si="52"/>
        <v>0</v>
      </c>
      <c r="Q165" s="18"/>
      <c r="R165" s="18"/>
      <c r="S165" s="18">
        <f t="shared" si="53"/>
        <v>0</v>
      </c>
      <c r="T165" s="18">
        <f t="shared" si="54"/>
        <v>0</v>
      </c>
      <c r="U165" s="18"/>
      <c r="V165" s="18"/>
      <c r="W165" s="18">
        <f t="shared" si="55"/>
        <v>0</v>
      </c>
      <c r="X165" s="18">
        <f t="shared" si="56"/>
        <v>0</v>
      </c>
      <c r="Y165" s="18"/>
      <c r="Z165" s="18"/>
      <c r="AA165" s="18">
        <f t="shared" si="57"/>
        <v>0</v>
      </c>
      <c r="AB165" s="18">
        <f t="shared" si="58"/>
        <v>0</v>
      </c>
      <c r="AC165" s="18"/>
      <c r="AD165" s="18"/>
      <c r="AE165" s="18">
        <f t="shared" si="59"/>
        <v>0</v>
      </c>
      <c r="AF165" s="18">
        <f t="shared" si="60"/>
        <v>0</v>
      </c>
      <c r="AG165" s="18"/>
      <c r="AH165" s="18"/>
      <c r="AI165" s="18">
        <f t="shared" si="43"/>
        <v>0</v>
      </c>
      <c r="AJ165" s="18">
        <f t="shared" si="44"/>
        <v>0</v>
      </c>
      <c r="AK165" s="18"/>
      <c r="AL165" s="18"/>
      <c r="AM165" s="18">
        <f t="shared" si="45"/>
        <v>0</v>
      </c>
      <c r="AN165" s="18">
        <f t="shared" si="46"/>
        <v>0</v>
      </c>
      <c r="AP165">
        <f t="shared" si="61"/>
        <v>0</v>
      </c>
      <c r="AQ165">
        <f t="shared" si="62"/>
        <v>0</v>
      </c>
      <c r="AR165">
        <f t="shared" si="63"/>
        <v>0</v>
      </c>
    </row>
    <row r="166" spans="1:44" x14ac:dyDescent="0.3">
      <c r="A166" s="2" t="s">
        <v>336</v>
      </c>
      <c r="B166" s="2" t="s">
        <v>337</v>
      </c>
      <c r="C166">
        <v>1.786E-3</v>
      </c>
      <c r="D166">
        <v>2.986303491033709E-3</v>
      </c>
      <c r="E166" s="18"/>
      <c r="F166" s="18"/>
      <c r="G166" s="18">
        <f t="shared" si="47"/>
        <v>0</v>
      </c>
      <c r="H166" s="18">
        <f t="shared" si="48"/>
        <v>0</v>
      </c>
      <c r="I166" s="18"/>
      <c r="J166" s="18"/>
      <c r="K166" s="18">
        <f t="shared" si="49"/>
        <v>0</v>
      </c>
      <c r="L166" s="18">
        <f t="shared" si="50"/>
        <v>0</v>
      </c>
      <c r="M166" s="18">
        <v>2.5475897106770957E-2</v>
      </c>
      <c r="N166" s="18"/>
      <c r="O166" s="18">
        <f t="shared" si="51"/>
        <v>6.3689742766927394E-3</v>
      </c>
      <c r="P166" s="18">
        <f t="shared" si="52"/>
        <v>8.5309136138579387</v>
      </c>
      <c r="Q166" s="18"/>
      <c r="R166" s="18"/>
      <c r="S166" s="18">
        <f t="shared" si="53"/>
        <v>0</v>
      </c>
      <c r="T166" s="18">
        <f t="shared" si="54"/>
        <v>0</v>
      </c>
      <c r="U166" s="18"/>
      <c r="V166" s="18"/>
      <c r="W166" s="18">
        <f t="shared" si="55"/>
        <v>0</v>
      </c>
      <c r="X166" s="18">
        <f t="shared" si="56"/>
        <v>0</v>
      </c>
      <c r="Y166" s="18"/>
      <c r="Z166" s="18"/>
      <c r="AA166" s="18">
        <f t="shared" si="57"/>
        <v>0</v>
      </c>
      <c r="AB166" s="18">
        <f t="shared" si="58"/>
        <v>0</v>
      </c>
      <c r="AC166" s="18"/>
      <c r="AD166" s="18"/>
      <c r="AE166" s="18">
        <f t="shared" si="59"/>
        <v>0</v>
      </c>
      <c r="AF166" s="18">
        <f t="shared" si="60"/>
        <v>0</v>
      </c>
      <c r="AG166" s="18"/>
      <c r="AH166" s="18"/>
      <c r="AI166" s="18">
        <f t="shared" si="43"/>
        <v>0</v>
      </c>
      <c r="AJ166" s="18">
        <f t="shared" si="44"/>
        <v>0</v>
      </c>
      <c r="AK166" s="18">
        <v>1.022047588108083E-3</v>
      </c>
      <c r="AL166" s="18"/>
      <c r="AM166" s="18">
        <f t="shared" si="45"/>
        <v>4.0881903524323318E-4</v>
      </c>
      <c r="AN166" s="18">
        <f t="shared" si="46"/>
        <v>0.34224505016879619</v>
      </c>
      <c r="AP166">
        <f t="shared" si="61"/>
        <v>0</v>
      </c>
      <c r="AQ166">
        <f t="shared" si="62"/>
        <v>0</v>
      </c>
      <c r="AR166">
        <f t="shared" si="63"/>
        <v>0</v>
      </c>
    </row>
    <row r="167" spans="1:44" x14ac:dyDescent="0.3">
      <c r="A167" s="2" t="s">
        <v>338</v>
      </c>
      <c r="B167" s="2" t="s">
        <v>339</v>
      </c>
      <c r="C167">
        <v>2.0040000000000001E-3</v>
      </c>
      <c r="D167">
        <v>2.1143480128381245E-3</v>
      </c>
      <c r="E167" s="18"/>
      <c r="F167" s="18"/>
      <c r="G167" s="18">
        <f t="shared" si="47"/>
        <v>0</v>
      </c>
      <c r="H167" s="18">
        <f t="shared" si="48"/>
        <v>0</v>
      </c>
      <c r="I167" s="18"/>
      <c r="J167" s="18"/>
      <c r="K167" s="18">
        <f t="shared" si="49"/>
        <v>0</v>
      </c>
      <c r="L167" s="18">
        <f t="shared" si="50"/>
        <v>0</v>
      </c>
      <c r="M167" s="18"/>
      <c r="N167" s="18"/>
      <c r="O167" s="18">
        <f t="shared" si="51"/>
        <v>0</v>
      </c>
      <c r="P167" s="18">
        <f t="shared" si="52"/>
        <v>0</v>
      </c>
      <c r="Q167" s="18"/>
      <c r="R167" s="18"/>
      <c r="S167" s="18">
        <f t="shared" si="53"/>
        <v>0</v>
      </c>
      <c r="T167" s="18">
        <f t="shared" si="54"/>
        <v>0</v>
      </c>
      <c r="U167" s="18"/>
      <c r="V167" s="18"/>
      <c r="W167" s="18">
        <f t="shared" si="55"/>
        <v>0</v>
      </c>
      <c r="X167" s="18">
        <f t="shared" si="56"/>
        <v>0</v>
      </c>
      <c r="Y167" s="18"/>
      <c r="Z167" s="18"/>
      <c r="AA167" s="18">
        <f t="shared" si="57"/>
        <v>0</v>
      </c>
      <c r="AB167" s="18">
        <f t="shared" si="58"/>
        <v>0</v>
      </c>
      <c r="AC167" s="18"/>
      <c r="AD167" s="18"/>
      <c r="AE167" s="18">
        <f t="shared" si="59"/>
        <v>0</v>
      </c>
      <c r="AF167" s="18">
        <f t="shared" si="60"/>
        <v>0</v>
      </c>
      <c r="AG167" s="18"/>
      <c r="AH167" s="18"/>
      <c r="AI167" s="18">
        <f t="shared" si="43"/>
        <v>0</v>
      </c>
      <c r="AJ167" s="18">
        <f t="shared" si="44"/>
        <v>0</v>
      </c>
      <c r="AK167" s="18"/>
      <c r="AL167" s="18"/>
      <c r="AM167" s="18">
        <f t="shared" si="45"/>
        <v>0</v>
      </c>
      <c r="AN167" s="18">
        <f t="shared" si="46"/>
        <v>0</v>
      </c>
      <c r="AP167">
        <f t="shared" si="61"/>
        <v>0</v>
      </c>
      <c r="AQ167">
        <f t="shared" si="62"/>
        <v>0</v>
      </c>
      <c r="AR167">
        <f t="shared" si="63"/>
        <v>0</v>
      </c>
    </row>
    <row r="168" spans="1:44" x14ac:dyDescent="0.3">
      <c r="A168" s="2" t="s">
        <v>340</v>
      </c>
      <c r="B168" s="2" t="s">
        <v>341</v>
      </c>
      <c r="C168">
        <v>5.2900000000000004E-3</v>
      </c>
      <c r="D168">
        <v>7.6496992362779306E-3</v>
      </c>
      <c r="E168" s="18"/>
      <c r="F168" s="18"/>
      <c r="G168" s="18">
        <f t="shared" si="47"/>
        <v>0</v>
      </c>
      <c r="H168" s="18">
        <f t="shared" si="48"/>
        <v>0</v>
      </c>
      <c r="I168" s="18"/>
      <c r="J168" s="18"/>
      <c r="K168" s="18">
        <f t="shared" si="49"/>
        <v>0</v>
      </c>
      <c r="L168" s="18">
        <f t="shared" si="50"/>
        <v>0</v>
      </c>
      <c r="M168" s="18"/>
      <c r="N168" s="18"/>
      <c r="O168" s="18">
        <f t="shared" si="51"/>
        <v>0</v>
      </c>
      <c r="P168" s="18">
        <f t="shared" si="52"/>
        <v>0</v>
      </c>
      <c r="Q168" s="18"/>
      <c r="R168" s="18"/>
      <c r="S168" s="18">
        <f t="shared" si="53"/>
        <v>0</v>
      </c>
      <c r="T168" s="18">
        <f t="shared" si="54"/>
        <v>0</v>
      </c>
      <c r="U168" s="18"/>
      <c r="V168" s="18"/>
      <c r="W168" s="18">
        <f t="shared" si="55"/>
        <v>0</v>
      </c>
      <c r="X168" s="18">
        <f t="shared" si="56"/>
        <v>0</v>
      </c>
      <c r="Y168" s="18"/>
      <c r="Z168" s="18"/>
      <c r="AA168" s="18">
        <f t="shared" si="57"/>
        <v>0</v>
      </c>
      <c r="AB168" s="18">
        <f t="shared" si="58"/>
        <v>0</v>
      </c>
      <c r="AC168" s="18"/>
      <c r="AD168" s="18"/>
      <c r="AE168" s="18">
        <f t="shared" si="59"/>
        <v>0</v>
      </c>
      <c r="AF168" s="18">
        <f t="shared" si="60"/>
        <v>0</v>
      </c>
      <c r="AG168" s="18"/>
      <c r="AH168" s="18"/>
      <c r="AI168" s="18">
        <f t="shared" si="43"/>
        <v>0</v>
      </c>
      <c r="AJ168" s="18">
        <f t="shared" si="44"/>
        <v>0</v>
      </c>
      <c r="AK168" s="18"/>
      <c r="AL168" s="18"/>
      <c r="AM168" s="18">
        <f t="shared" si="45"/>
        <v>0</v>
      </c>
      <c r="AN168" s="18">
        <f t="shared" si="46"/>
        <v>0</v>
      </c>
      <c r="AP168">
        <f t="shared" si="61"/>
        <v>0</v>
      </c>
      <c r="AQ168">
        <f t="shared" si="62"/>
        <v>0</v>
      </c>
      <c r="AR168">
        <f t="shared" si="63"/>
        <v>0</v>
      </c>
    </row>
    <row r="169" spans="1:44" x14ac:dyDescent="0.3">
      <c r="A169" s="2" t="s">
        <v>342</v>
      </c>
      <c r="B169" s="2" t="s">
        <v>343</v>
      </c>
      <c r="C169">
        <v>4.0730000000000002E-3</v>
      </c>
      <c r="D169">
        <v>5.1721899702905196E-3</v>
      </c>
      <c r="E169" s="18"/>
      <c r="F169" s="18"/>
      <c r="G169" s="18">
        <f t="shared" si="47"/>
        <v>0</v>
      </c>
      <c r="H169" s="18">
        <f t="shared" si="48"/>
        <v>0</v>
      </c>
      <c r="I169" s="18"/>
      <c r="J169" s="18"/>
      <c r="K169" s="18">
        <f t="shared" si="49"/>
        <v>0</v>
      </c>
      <c r="L169" s="18">
        <f t="shared" si="50"/>
        <v>0</v>
      </c>
      <c r="M169" s="18"/>
      <c r="N169" s="18"/>
      <c r="O169" s="18">
        <f t="shared" si="51"/>
        <v>0</v>
      </c>
      <c r="P169" s="18">
        <f t="shared" si="52"/>
        <v>0</v>
      </c>
      <c r="Q169" s="18"/>
      <c r="R169" s="18"/>
      <c r="S169" s="18">
        <f t="shared" si="53"/>
        <v>0</v>
      </c>
      <c r="T169" s="18">
        <f t="shared" si="54"/>
        <v>0</v>
      </c>
      <c r="U169" s="18"/>
      <c r="V169" s="18"/>
      <c r="W169" s="18">
        <f t="shared" si="55"/>
        <v>0</v>
      </c>
      <c r="X169" s="18">
        <f t="shared" si="56"/>
        <v>0</v>
      </c>
      <c r="Y169" s="18"/>
      <c r="Z169" s="18"/>
      <c r="AA169" s="18">
        <f t="shared" si="57"/>
        <v>0</v>
      </c>
      <c r="AB169" s="18">
        <f t="shared" si="58"/>
        <v>0</v>
      </c>
      <c r="AC169" s="18"/>
      <c r="AD169" s="18"/>
      <c r="AE169" s="18">
        <f t="shared" si="59"/>
        <v>0</v>
      </c>
      <c r="AF169" s="18">
        <f t="shared" si="60"/>
        <v>0</v>
      </c>
      <c r="AG169" s="18"/>
      <c r="AH169" s="18"/>
      <c r="AI169" s="18">
        <f t="shared" si="43"/>
        <v>0</v>
      </c>
      <c r="AJ169" s="18">
        <f t="shared" si="44"/>
        <v>0</v>
      </c>
      <c r="AK169" s="18"/>
      <c r="AL169" s="18"/>
      <c r="AM169" s="18">
        <f t="shared" si="45"/>
        <v>0</v>
      </c>
      <c r="AN169" s="18">
        <f t="shared" si="46"/>
        <v>0</v>
      </c>
      <c r="AP169">
        <f t="shared" si="61"/>
        <v>0</v>
      </c>
      <c r="AQ169">
        <f t="shared" si="62"/>
        <v>0</v>
      </c>
      <c r="AR169">
        <f t="shared" si="63"/>
        <v>0</v>
      </c>
    </row>
    <row r="170" spans="1:44" x14ac:dyDescent="0.3">
      <c r="A170" s="2" t="s">
        <v>344</v>
      </c>
      <c r="B170" s="2" t="s">
        <v>345</v>
      </c>
      <c r="C170">
        <v>1.1318E-2</v>
      </c>
      <c r="D170">
        <v>1.3430425999141444E-2</v>
      </c>
      <c r="E170" s="18"/>
      <c r="F170" s="18"/>
      <c r="G170" s="18">
        <f t="shared" si="47"/>
        <v>0</v>
      </c>
      <c r="H170" s="18">
        <f t="shared" si="48"/>
        <v>0</v>
      </c>
      <c r="I170" s="18"/>
      <c r="J170" s="18"/>
      <c r="K170" s="18">
        <f t="shared" si="49"/>
        <v>0</v>
      </c>
      <c r="L170" s="18">
        <f t="shared" si="50"/>
        <v>0</v>
      </c>
      <c r="M170" s="18"/>
      <c r="N170" s="18"/>
      <c r="O170" s="18">
        <f t="shared" si="51"/>
        <v>0</v>
      </c>
      <c r="P170" s="18">
        <f t="shared" si="52"/>
        <v>0</v>
      </c>
      <c r="Q170" s="18"/>
      <c r="R170" s="18"/>
      <c r="S170" s="18">
        <f t="shared" si="53"/>
        <v>0</v>
      </c>
      <c r="T170" s="18">
        <f t="shared" si="54"/>
        <v>0</v>
      </c>
      <c r="U170" s="18"/>
      <c r="V170" s="18"/>
      <c r="W170" s="18">
        <f t="shared" si="55"/>
        <v>0</v>
      </c>
      <c r="X170" s="18">
        <f t="shared" si="56"/>
        <v>0</v>
      </c>
      <c r="Y170" s="18"/>
      <c r="Z170" s="18"/>
      <c r="AA170" s="18">
        <f t="shared" si="57"/>
        <v>0</v>
      </c>
      <c r="AB170" s="18">
        <f t="shared" si="58"/>
        <v>0</v>
      </c>
      <c r="AC170" s="18"/>
      <c r="AD170" s="18"/>
      <c r="AE170" s="18">
        <f t="shared" si="59"/>
        <v>0</v>
      </c>
      <c r="AF170" s="18">
        <f t="shared" si="60"/>
        <v>0</v>
      </c>
      <c r="AG170" s="18"/>
      <c r="AH170" s="18"/>
      <c r="AI170" s="18">
        <f t="shared" si="43"/>
        <v>0</v>
      </c>
      <c r="AJ170" s="18">
        <f t="shared" si="44"/>
        <v>0</v>
      </c>
      <c r="AK170" s="18"/>
      <c r="AL170" s="18"/>
      <c r="AM170" s="18">
        <f t="shared" si="45"/>
        <v>0</v>
      </c>
      <c r="AN170" s="18">
        <f t="shared" si="46"/>
        <v>0</v>
      </c>
      <c r="AP170">
        <f t="shared" si="61"/>
        <v>0</v>
      </c>
      <c r="AQ170">
        <f t="shared" si="62"/>
        <v>0</v>
      </c>
      <c r="AR170">
        <f t="shared" si="63"/>
        <v>0</v>
      </c>
    </row>
    <row r="171" spans="1:44" x14ac:dyDescent="0.3">
      <c r="A171" s="2" t="s">
        <v>346</v>
      </c>
      <c r="B171" s="2" t="s">
        <v>347</v>
      </c>
      <c r="C171">
        <v>4.4450000000000002E-3</v>
      </c>
      <c r="D171">
        <v>5.5717289026434892E-3</v>
      </c>
      <c r="E171" s="18"/>
      <c r="F171" s="18"/>
      <c r="G171" s="18">
        <f t="shared" si="47"/>
        <v>0</v>
      </c>
      <c r="H171" s="18">
        <f t="shared" si="48"/>
        <v>0</v>
      </c>
      <c r="I171" s="18"/>
      <c r="J171" s="18"/>
      <c r="K171" s="18">
        <f t="shared" si="49"/>
        <v>0</v>
      </c>
      <c r="L171" s="18">
        <f t="shared" si="50"/>
        <v>0</v>
      </c>
      <c r="M171" s="18"/>
      <c r="N171" s="18"/>
      <c r="O171" s="18">
        <f t="shared" si="51"/>
        <v>0</v>
      </c>
      <c r="P171" s="18">
        <f t="shared" si="52"/>
        <v>0</v>
      </c>
      <c r="Q171" s="18"/>
      <c r="R171" s="18"/>
      <c r="S171" s="18">
        <f t="shared" si="53"/>
        <v>0</v>
      </c>
      <c r="T171" s="18">
        <f t="shared" si="54"/>
        <v>0</v>
      </c>
      <c r="U171" s="18"/>
      <c r="V171" s="18"/>
      <c r="W171" s="18">
        <f t="shared" si="55"/>
        <v>0</v>
      </c>
      <c r="X171" s="18">
        <f t="shared" si="56"/>
        <v>0</v>
      </c>
      <c r="Y171" s="18"/>
      <c r="Z171" s="18"/>
      <c r="AA171" s="18">
        <f t="shared" si="57"/>
        <v>0</v>
      </c>
      <c r="AB171" s="18">
        <f t="shared" si="58"/>
        <v>0</v>
      </c>
      <c r="AC171" s="18"/>
      <c r="AD171" s="18"/>
      <c r="AE171" s="18">
        <f t="shared" si="59"/>
        <v>0</v>
      </c>
      <c r="AF171" s="18">
        <f t="shared" si="60"/>
        <v>0</v>
      </c>
      <c r="AG171" s="18"/>
      <c r="AH171" s="18"/>
      <c r="AI171" s="18">
        <f t="shared" si="43"/>
        <v>0</v>
      </c>
      <c r="AJ171" s="18">
        <f t="shared" si="44"/>
        <v>0</v>
      </c>
      <c r="AK171" s="18"/>
      <c r="AL171" s="18"/>
      <c r="AM171" s="18">
        <f t="shared" si="45"/>
        <v>0</v>
      </c>
      <c r="AN171" s="18">
        <f t="shared" si="46"/>
        <v>0</v>
      </c>
      <c r="AP171">
        <f t="shared" si="61"/>
        <v>0</v>
      </c>
      <c r="AQ171">
        <f t="shared" si="62"/>
        <v>0</v>
      </c>
      <c r="AR171">
        <f t="shared" si="63"/>
        <v>0</v>
      </c>
    </row>
    <row r="172" spans="1:44" x14ac:dyDescent="0.3">
      <c r="A172" s="2" t="s">
        <v>348</v>
      </c>
      <c r="B172" s="2" t="s">
        <v>349</v>
      </c>
      <c r="C172">
        <v>1.315E-3</v>
      </c>
      <c r="D172">
        <v>1.5032729094837834E-3</v>
      </c>
      <c r="E172" s="18"/>
      <c r="F172" s="18"/>
      <c r="G172" s="18">
        <f t="shared" si="47"/>
        <v>0</v>
      </c>
      <c r="H172" s="18">
        <f t="shared" si="48"/>
        <v>0</v>
      </c>
      <c r="I172" s="18"/>
      <c r="J172" s="18"/>
      <c r="K172" s="18">
        <f t="shared" si="49"/>
        <v>0</v>
      </c>
      <c r="L172" s="18">
        <f t="shared" si="50"/>
        <v>0</v>
      </c>
      <c r="M172" s="18"/>
      <c r="N172" s="18"/>
      <c r="O172" s="18">
        <f t="shared" si="51"/>
        <v>0</v>
      </c>
      <c r="P172" s="18">
        <f t="shared" si="52"/>
        <v>0</v>
      </c>
      <c r="Q172" s="18"/>
      <c r="R172" s="18"/>
      <c r="S172" s="18">
        <f t="shared" si="53"/>
        <v>0</v>
      </c>
      <c r="T172" s="18">
        <f t="shared" si="54"/>
        <v>0</v>
      </c>
      <c r="U172" s="18"/>
      <c r="V172" s="18"/>
      <c r="W172" s="18">
        <f t="shared" si="55"/>
        <v>0</v>
      </c>
      <c r="X172" s="18">
        <f t="shared" si="56"/>
        <v>0</v>
      </c>
      <c r="Y172" s="18"/>
      <c r="Z172" s="18"/>
      <c r="AA172" s="18">
        <f t="shared" si="57"/>
        <v>0</v>
      </c>
      <c r="AB172" s="18">
        <f t="shared" si="58"/>
        <v>0</v>
      </c>
      <c r="AC172" s="18"/>
      <c r="AD172" s="18"/>
      <c r="AE172" s="18">
        <f t="shared" si="59"/>
        <v>0</v>
      </c>
      <c r="AF172" s="18">
        <f t="shared" si="60"/>
        <v>0</v>
      </c>
      <c r="AG172" s="18"/>
      <c r="AH172" s="18"/>
      <c r="AI172" s="18">
        <f t="shared" si="43"/>
        <v>0</v>
      </c>
      <c r="AJ172" s="18">
        <f t="shared" si="44"/>
        <v>0</v>
      </c>
      <c r="AK172" s="18"/>
      <c r="AL172" s="18"/>
      <c r="AM172" s="18">
        <f t="shared" si="45"/>
        <v>0</v>
      </c>
      <c r="AN172" s="18">
        <f t="shared" si="46"/>
        <v>0</v>
      </c>
      <c r="AP172">
        <f t="shared" si="61"/>
        <v>0</v>
      </c>
      <c r="AQ172">
        <f t="shared" si="62"/>
        <v>0</v>
      </c>
      <c r="AR172">
        <f t="shared" si="63"/>
        <v>0</v>
      </c>
    </row>
    <row r="173" spans="1:44" x14ac:dyDescent="0.3">
      <c r="A173" s="2" t="s">
        <v>350</v>
      </c>
      <c r="B173" s="2" t="s">
        <v>351</v>
      </c>
      <c r="C173">
        <v>5.1850000000000004E-3</v>
      </c>
      <c r="D173">
        <v>3.267913657929904E-3</v>
      </c>
      <c r="E173" s="18"/>
      <c r="F173" s="18"/>
      <c r="G173" s="18">
        <f t="shared" si="47"/>
        <v>0</v>
      </c>
      <c r="H173" s="18">
        <f t="shared" si="48"/>
        <v>0</v>
      </c>
      <c r="I173" s="18"/>
      <c r="J173" s="18"/>
      <c r="K173" s="18">
        <f t="shared" si="49"/>
        <v>0</v>
      </c>
      <c r="L173" s="18">
        <f t="shared" si="50"/>
        <v>0</v>
      </c>
      <c r="M173" s="18"/>
      <c r="N173" s="18"/>
      <c r="O173" s="18">
        <f t="shared" si="51"/>
        <v>0</v>
      </c>
      <c r="P173" s="18">
        <f t="shared" si="52"/>
        <v>0</v>
      </c>
      <c r="Q173" s="18"/>
      <c r="R173" s="18"/>
      <c r="S173" s="18">
        <f t="shared" si="53"/>
        <v>0</v>
      </c>
      <c r="T173" s="18">
        <f t="shared" si="54"/>
        <v>0</v>
      </c>
      <c r="U173" s="18"/>
      <c r="V173" s="18"/>
      <c r="W173" s="18">
        <f t="shared" si="55"/>
        <v>0</v>
      </c>
      <c r="X173" s="18">
        <f t="shared" si="56"/>
        <v>0</v>
      </c>
      <c r="Y173" s="18"/>
      <c r="Z173" s="18"/>
      <c r="AA173" s="18">
        <f t="shared" si="57"/>
        <v>0</v>
      </c>
      <c r="AB173" s="18">
        <f t="shared" si="58"/>
        <v>0</v>
      </c>
      <c r="AC173" s="18"/>
      <c r="AD173" s="18"/>
      <c r="AE173" s="18">
        <f t="shared" si="59"/>
        <v>0</v>
      </c>
      <c r="AF173" s="18">
        <f t="shared" si="60"/>
        <v>0</v>
      </c>
      <c r="AG173" s="18"/>
      <c r="AH173" s="18"/>
      <c r="AI173" s="18">
        <f t="shared" si="43"/>
        <v>0</v>
      </c>
      <c r="AJ173" s="18">
        <f t="shared" si="44"/>
        <v>0</v>
      </c>
      <c r="AK173" s="18">
        <v>3.2570747313334513E-3</v>
      </c>
      <c r="AL173" s="18"/>
      <c r="AM173" s="18">
        <f t="shared" si="45"/>
        <v>1.3028298925333807E-3</v>
      </c>
      <c r="AN173" s="18">
        <f t="shared" si="46"/>
        <v>0.99668322736429982</v>
      </c>
      <c r="AP173">
        <f t="shared" si="61"/>
        <v>0</v>
      </c>
      <c r="AQ173">
        <f t="shared" si="62"/>
        <v>0</v>
      </c>
      <c r="AR173">
        <f t="shared" si="63"/>
        <v>0</v>
      </c>
    </row>
    <row r="174" spans="1:44" x14ac:dyDescent="0.3">
      <c r="A174" s="6" t="s">
        <v>352</v>
      </c>
      <c r="B174" s="6" t="s">
        <v>353</v>
      </c>
      <c r="C174" s="22">
        <v>5.5849999999999997E-2</v>
      </c>
      <c r="D174" s="22">
        <v>6.2908834518786427E-2</v>
      </c>
      <c r="E174" s="18"/>
      <c r="F174" s="18"/>
      <c r="G174" s="18">
        <f t="shared" si="47"/>
        <v>0</v>
      </c>
      <c r="H174" s="18">
        <f t="shared" si="48"/>
        <v>0</v>
      </c>
      <c r="I174" s="18"/>
      <c r="J174" s="18"/>
      <c r="K174" s="18">
        <f t="shared" si="49"/>
        <v>0</v>
      </c>
      <c r="L174" s="18">
        <f t="shared" si="50"/>
        <v>0</v>
      </c>
      <c r="M174" s="18"/>
      <c r="N174" s="18"/>
      <c r="O174" s="18">
        <f t="shared" si="51"/>
        <v>0</v>
      </c>
      <c r="P174" s="18">
        <f t="shared" si="52"/>
        <v>0</v>
      </c>
      <c r="Q174" s="18">
        <v>0.16782916333805495</v>
      </c>
      <c r="R174" s="18"/>
      <c r="S174" s="18">
        <f t="shared" si="53"/>
        <v>5.0348749001416483E-2</v>
      </c>
      <c r="T174" s="18">
        <f t="shared" si="54"/>
        <v>2.6678154924001372</v>
      </c>
      <c r="U174" s="18"/>
      <c r="V174" s="18"/>
      <c r="W174" s="18">
        <f t="shared" si="55"/>
        <v>0</v>
      </c>
      <c r="X174" s="18">
        <f t="shared" si="56"/>
        <v>0</v>
      </c>
      <c r="Y174" s="18"/>
      <c r="Z174" s="18"/>
      <c r="AA174" s="18">
        <f t="shared" si="57"/>
        <v>0</v>
      </c>
      <c r="AB174" s="18">
        <f t="shared" si="58"/>
        <v>0</v>
      </c>
      <c r="AC174" s="18">
        <v>5.9335303328192514E-2</v>
      </c>
      <c r="AD174" s="18"/>
      <c r="AE174" s="18">
        <f t="shared" si="59"/>
        <v>2.9667651664096257E-2</v>
      </c>
      <c r="AF174" s="18">
        <f t="shared" si="60"/>
        <v>0.94319508193198598</v>
      </c>
      <c r="AG174" s="18">
        <v>5.0086590376583243E-4</v>
      </c>
      <c r="AH174" s="18"/>
      <c r="AI174" s="18">
        <f t="shared" si="43"/>
        <v>4.0069272301266598E-4</v>
      </c>
      <c r="AJ174" s="18">
        <f t="shared" si="44"/>
        <v>7.9617736935860602E-3</v>
      </c>
      <c r="AK174" s="18"/>
      <c r="AL174" s="18"/>
      <c r="AM174" s="18">
        <f t="shared" si="45"/>
        <v>0</v>
      </c>
      <c r="AN174" s="18">
        <f t="shared" si="46"/>
        <v>0</v>
      </c>
      <c r="AP174">
        <f t="shared" si="61"/>
        <v>0</v>
      </c>
      <c r="AQ174">
        <f t="shared" si="62"/>
        <v>0</v>
      </c>
      <c r="AR174">
        <f t="shared" si="63"/>
        <v>0</v>
      </c>
    </row>
    <row r="175" spans="1:44" x14ac:dyDescent="0.3">
      <c r="A175" s="6" t="s">
        <v>354</v>
      </c>
      <c r="B175" s="6" t="s">
        <v>355</v>
      </c>
      <c r="C175" s="22">
        <v>3.4806999999999998E-2</v>
      </c>
      <c r="D175" s="22">
        <v>4.9892671651728213E-2</v>
      </c>
      <c r="E175" s="18"/>
      <c r="F175" s="18"/>
      <c r="G175" s="18">
        <f t="shared" si="47"/>
        <v>0</v>
      </c>
      <c r="H175" s="18">
        <f t="shared" si="48"/>
        <v>0</v>
      </c>
      <c r="I175" s="18">
        <v>7.9545454545454544E-2</v>
      </c>
      <c r="J175" s="18"/>
      <c r="K175" s="18">
        <f t="shared" si="49"/>
        <v>3.9772727272727272E-2</v>
      </c>
      <c r="L175" s="18">
        <f t="shared" si="50"/>
        <v>1.5943314300888756</v>
      </c>
      <c r="M175" s="18">
        <v>5.9784371726933377E-2</v>
      </c>
      <c r="N175" s="18"/>
      <c r="O175" s="18">
        <f t="shared" si="51"/>
        <v>1.4946092931733344E-2</v>
      </c>
      <c r="P175" s="18">
        <f t="shared" si="52"/>
        <v>1.1982595789668948</v>
      </c>
      <c r="Q175" s="18"/>
      <c r="R175" s="18"/>
      <c r="S175" s="18">
        <f t="shared" si="53"/>
        <v>0</v>
      </c>
      <c r="T175" s="18">
        <f t="shared" si="54"/>
        <v>0</v>
      </c>
      <c r="U175" s="18">
        <v>9.7882862451899848E-3</v>
      </c>
      <c r="V175" s="18"/>
      <c r="W175" s="18">
        <f t="shared" si="55"/>
        <v>3.9153144980759941E-3</v>
      </c>
      <c r="X175" s="18">
        <f t="shared" si="56"/>
        <v>0.19618685312176368</v>
      </c>
      <c r="Y175" s="18">
        <v>9.1521421671778305E-2</v>
      </c>
      <c r="Z175" s="18"/>
      <c r="AA175" s="18">
        <f t="shared" si="57"/>
        <v>4.5760710835889153E-2</v>
      </c>
      <c r="AB175" s="18">
        <f t="shared" si="58"/>
        <v>1.834366022942933</v>
      </c>
      <c r="AC175" s="18"/>
      <c r="AD175" s="18"/>
      <c r="AE175" s="18">
        <f t="shared" si="59"/>
        <v>0</v>
      </c>
      <c r="AF175" s="18">
        <f t="shared" si="60"/>
        <v>0</v>
      </c>
      <c r="AG175" s="18"/>
      <c r="AH175" s="18"/>
      <c r="AI175" s="18">
        <f t="shared" si="43"/>
        <v>0</v>
      </c>
      <c r="AJ175" s="18">
        <f t="shared" si="44"/>
        <v>0</v>
      </c>
      <c r="AK175" s="18"/>
      <c r="AL175" s="18"/>
      <c r="AM175" s="18">
        <f t="shared" si="45"/>
        <v>0</v>
      </c>
      <c r="AN175" s="18">
        <f t="shared" si="46"/>
        <v>0</v>
      </c>
      <c r="AP175">
        <f t="shared" si="61"/>
        <v>3.9772727272727272E-2</v>
      </c>
      <c r="AQ175">
        <f t="shared" si="62"/>
        <v>1.9886363636363636E-2</v>
      </c>
      <c r="AR175">
        <f t="shared" si="63"/>
        <v>1.9886363636363636E-2</v>
      </c>
    </row>
    <row r="176" spans="1:44" x14ac:dyDescent="0.3">
      <c r="A176" s="2" t="s">
        <v>356</v>
      </c>
      <c r="B176" s="2" t="s">
        <v>357</v>
      </c>
      <c r="C176">
        <v>1.884E-3</v>
      </c>
      <c r="D176">
        <v>4.8926735834496204E-4</v>
      </c>
      <c r="E176" s="18"/>
      <c r="F176" s="18"/>
      <c r="G176" s="18">
        <f t="shared" si="47"/>
        <v>0</v>
      </c>
      <c r="H176" s="18">
        <f t="shared" si="48"/>
        <v>0</v>
      </c>
      <c r="I176" s="18"/>
      <c r="J176" s="18"/>
      <c r="K176" s="18">
        <f t="shared" si="49"/>
        <v>0</v>
      </c>
      <c r="L176" s="18">
        <f t="shared" si="50"/>
        <v>0</v>
      </c>
      <c r="M176" s="18"/>
      <c r="N176" s="18"/>
      <c r="O176" s="18">
        <f t="shared" si="51"/>
        <v>0</v>
      </c>
      <c r="P176" s="18">
        <f t="shared" si="52"/>
        <v>0</v>
      </c>
      <c r="Q176" s="18"/>
      <c r="R176" s="18"/>
      <c r="S176" s="18">
        <f t="shared" si="53"/>
        <v>0</v>
      </c>
      <c r="T176" s="18">
        <f t="shared" si="54"/>
        <v>0</v>
      </c>
      <c r="U176" s="18"/>
      <c r="V176" s="18"/>
      <c r="W176" s="18">
        <f t="shared" si="55"/>
        <v>0</v>
      </c>
      <c r="X176" s="18">
        <f t="shared" si="56"/>
        <v>0</v>
      </c>
      <c r="Y176" s="18"/>
      <c r="Z176" s="18"/>
      <c r="AA176" s="18">
        <f t="shared" si="57"/>
        <v>0</v>
      </c>
      <c r="AB176" s="18">
        <f t="shared" si="58"/>
        <v>0</v>
      </c>
      <c r="AC176" s="18"/>
      <c r="AD176" s="18"/>
      <c r="AE176" s="18">
        <f t="shared" si="59"/>
        <v>0</v>
      </c>
      <c r="AF176" s="18">
        <f t="shared" si="60"/>
        <v>0</v>
      </c>
      <c r="AG176" s="18"/>
      <c r="AH176" s="18"/>
      <c r="AI176" s="18">
        <f t="shared" si="43"/>
        <v>0</v>
      </c>
      <c r="AJ176" s="18">
        <f t="shared" si="44"/>
        <v>0</v>
      </c>
      <c r="AK176" s="18"/>
      <c r="AL176" s="18"/>
      <c r="AM176" s="18">
        <f t="shared" si="45"/>
        <v>0</v>
      </c>
      <c r="AN176" s="18">
        <f t="shared" si="46"/>
        <v>0</v>
      </c>
      <c r="AP176">
        <f t="shared" si="61"/>
        <v>0</v>
      </c>
      <c r="AQ176">
        <f t="shared" si="62"/>
        <v>0</v>
      </c>
      <c r="AR176">
        <f t="shared" si="63"/>
        <v>0</v>
      </c>
    </row>
    <row r="177" spans="1:44" x14ac:dyDescent="0.3">
      <c r="A177" s="2" t="s">
        <v>358</v>
      </c>
      <c r="B177" s="2" t="s">
        <v>359</v>
      </c>
      <c r="C177">
        <v>4.1910000000000003E-3</v>
      </c>
      <c r="D177">
        <v>4.1912449549829237E-3</v>
      </c>
      <c r="E177" s="18"/>
      <c r="F177" s="18"/>
      <c r="G177" s="18">
        <f t="shared" si="47"/>
        <v>0</v>
      </c>
      <c r="H177" s="18">
        <f t="shared" si="48"/>
        <v>0</v>
      </c>
      <c r="I177" s="18"/>
      <c r="J177" s="18"/>
      <c r="K177" s="18">
        <f t="shared" si="49"/>
        <v>0</v>
      </c>
      <c r="L177" s="18">
        <f t="shared" si="50"/>
        <v>0</v>
      </c>
      <c r="M177" s="18"/>
      <c r="N177" s="18"/>
      <c r="O177" s="18">
        <f t="shared" si="51"/>
        <v>0</v>
      </c>
      <c r="P177" s="18">
        <f t="shared" si="52"/>
        <v>0</v>
      </c>
      <c r="Q177" s="18"/>
      <c r="R177" s="18"/>
      <c r="S177" s="18">
        <f t="shared" si="53"/>
        <v>0</v>
      </c>
      <c r="T177" s="18">
        <f t="shared" si="54"/>
        <v>0</v>
      </c>
      <c r="U177" s="18"/>
      <c r="V177" s="18"/>
      <c r="W177" s="18">
        <f t="shared" si="55"/>
        <v>0</v>
      </c>
      <c r="X177" s="18">
        <f t="shared" si="56"/>
        <v>0</v>
      </c>
      <c r="Y177" s="18"/>
      <c r="Z177" s="18"/>
      <c r="AA177" s="18">
        <f t="shared" si="57"/>
        <v>0</v>
      </c>
      <c r="AB177" s="18">
        <f t="shared" si="58"/>
        <v>0</v>
      </c>
      <c r="AC177" s="18"/>
      <c r="AD177" s="18"/>
      <c r="AE177" s="18">
        <f t="shared" si="59"/>
        <v>0</v>
      </c>
      <c r="AF177" s="18">
        <f t="shared" si="60"/>
        <v>0</v>
      </c>
      <c r="AG177" s="18"/>
      <c r="AH177" s="18"/>
      <c r="AI177" s="18">
        <f t="shared" si="43"/>
        <v>0</v>
      </c>
      <c r="AJ177" s="18">
        <f t="shared" si="44"/>
        <v>0</v>
      </c>
      <c r="AK177" s="18"/>
      <c r="AL177" s="18"/>
      <c r="AM177" s="18">
        <f t="shared" si="45"/>
        <v>0</v>
      </c>
      <c r="AN177" s="18">
        <f t="shared" si="46"/>
        <v>0</v>
      </c>
      <c r="AP177">
        <f t="shared" si="61"/>
        <v>0</v>
      </c>
      <c r="AQ177">
        <f t="shared" si="62"/>
        <v>0</v>
      </c>
      <c r="AR177">
        <f t="shared" si="63"/>
        <v>0</v>
      </c>
    </row>
    <row r="178" spans="1:44" x14ac:dyDescent="0.3">
      <c r="A178" s="2" t="s">
        <v>360</v>
      </c>
      <c r="B178" s="2" t="s">
        <v>361</v>
      </c>
      <c r="C178">
        <v>6.2000000000000003E-5</v>
      </c>
      <c r="D178">
        <v>6.1753458579639583E-5</v>
      </c>
      <c r="E178" s="18"/>
      <c r="F178" s="18"/>
      <c r="G178" s="18">
        <f t="shared" si="47"/>
        <v>0</v>
      </c>
      <c r="H178" s="18">
        <f t="shared" si="48"/>
        <v>0</v>
      </c>
      <c r="I178" s="18"/>
      <c r="J178" s="18"/>
      <c r="K178" s="18">
        <f t="shared" si="49"/>
        <v>0</v>
      </c>
      <c r="L178" s="18">
        <f t="shared" si="50"/>
        <v>0</v>
      </c>
      <c r="M178" s="18"/>
      <c r="N178" s="18"/>
      <c r="O178" s="18">
        <f t="shared" si="51"/>
        <v>0</v>
      </c>
      <c r="P178" s="18">
        <f t="shared" si="52"/>
        <v>0</v>
      </c>
      <c r="Q178" s="18"/>
      <c r="R178" s="18"/>
      <c r="S178" s="18">
        <f t="shared" si="53"/>
        <v>0</v>
      </c>
      <c r="T178" s="18">
        <f t="shared" si="54"/>
        <v>0</v>
      </c>
      <c r="U178" s="18"/>
      <c r="V178" s="18"/>
      <c r="W178" s="18">
        <f t="shared" si="55"/>
        <v>0</v>
      </c>
      <c r="X178" s="18">
        <f t="shared" si="56"/>
        <v>0</v>
      </c>
      <c r="Y178" s="18"/>
      <c r="Z178" s="18"/>
      <c r="AA178" s="18">
        <f t="shared" si="57"/>
        <v>0</v>
      </c>
      <c r="AB178" s="18">
        <f t="shared" si="58"/>
        <v>0</v>
      </c>
      <c r="AC178" s="18"/>
      <c r="AD178" s="18"/>
      <c r="AE178" s="18">
        <f t="shared" si="59"/>
        <v>0</v>
      </c>
      <c r="AF178" s="18">
        <f t="shared" si="60"/>
        <v>0</v>
      </c>
      <c r="AG178" s="18"/>
      <c r="AH178" s="18"/>
      <c r="AI178" s="18">
        <f t="shared" si="43"/>
        <v>0</v>
      </c>
      <c r="AJ178" s="18">
        <f t="shared" si="44"/>
        <v>0</v>
      </c>
      <c r="AK178" s="18"/>
      <c r="AL178" s="18"/>
      <c r="AM178" s="18">
        <f t="shared" si="45"/>
        <v>0</v>
      </c>
      <c r="AN178" s="18">
        <f t="shared" si="46"/>
        <v>0</v>
      </c>
      <c r="AP178">
        <f t="shared" si="61"/>
        <v>0</v>
      </c>
      <c r="AQ178">
        <f t="shared" si="62"/>
        <v>0</v>
      </c>
      <c r="AR178">
        <f t="shared" si="63"/>
        <v>0</v>
      </c>
    </row>
    <row r="179" spans="1:44" x14ac:dyDescent="0.3">
      <c r="A179" s="2" t="s">
        <v>362</v>
      </c>
      <c r="B179" s="2" t="s">
        <v>363</v>
      </c>
      <c r="C179">
        <v>2.1732000000000001E-2</v>
      </c>
      <c r="D179">
        <v>2.1732381248059606E-2</v>
      </c>
      <c r="E179" s="18"/>
      <c r="F179" s="18"/>
      <c r="G179" s="18">
        <f t="shared" si="47"/>
        <v>0</v>
      </c>
      <c r="H179" s="18">
        <f t="shared" si="48"/>
        <v>0</v>
      </c>
      <c r="I179" s="18"/>
      <c r="J179" s="18"/>
      <c r="K179" s="18">
        <f t="shared" si="49"/>
        <v>0</v>
      </c>
      <c r="L179" s="18">
        <f t="shared" si="50"/>
        <v>0</v>
      </c>
      <c r="M179" s="18"/>
      <c r="N179" s="18"/>
      <c r="O179" s="18">
        <f t="shared" si="51"/>
        <v>0</v>
      </c>
      <c r="P179" s="18">
        <f t="shared" si="52"/>
        <v>0</v>
      </c>
      <c r="Q179" s="18"/>
      <c r="R179" s="18"/>
      <c r="S179" s="18">
        <f t="shared" si="53"/>
        <v>0</v>
      </c>
      <c r="T179" s="18">
        <f t="shared" si="54"/>
        <v>0</v>
      </c>
      <c r="U179" s="18"/>
      <c r="V179" s="18"/>
      <c r="W179" s="18">
        <f t="shared" si="55"/>
        <v>0</v>
      </c>
      <c r="X179" s="18">
        <f t="shared" si="56"/>
        <v>0</v>
      </c>
      <c r="Y179" s="18"/>
      <c r="Z179" s="18"/>
      <c r="AA179" s="18">
        <f t="shared" si="57"/>
        <v>0</v>
      </c>
      <c r="AB179" s="18">
        <f t="shared" si="58"/>
        <v>0</v>
      </c>
      <c r="AC179" s="18"/>
      <c r="AD179" s="18"/>
      <c r="AE179" s="18">
        <f t="shared" si="59"/>
        <v>0</v>
      </c>
      <c r="AF179" s="18">
        <f t="shared" si="60"/>
        <v>0</v>
      </c>
      <c r="AG179" s="18"/>
      <c r="AH179" s="18"/>
      <c r="AI179" s="18">
        <f t="shared" si="43"/>
        <v>0</v>
      </c>
      <c r="AJ179" s="18">
        <f t="shared" si="44"/>
        <v>0</v>
      </c>
      <c r="AK179" s="18"/>
      <c r="AL179" s="18"/>
      <c r="AM179" s="18">
        <f t="shared" si="45"/>
        <v>0</v>
      </c>
      <c r="AN179" s="18">
        <f t="shared" si="46"/>
        <v>0</v>
      </c>
      <c r="AP179">
        <f t="shared" si="61"/>
        <v>0</v>
      </c>
      <c r="AQ179">
        <f t="shared" si="62"/>
        <v>0</v>
      </c>
      <c r="AR179">
        <f t="shared" si="63"/>
        <v>0</v>
      </c>
    </row>
    <row r="180" spans="1:44" x14ac:dyDescent="0.3">
      <c r="A180" s="2" t="s">
        <v>364</v>
      </c>
      <c r="B180" s="2" t="s">
        <v>365</v>
      </c>
      <c r="C180">
        <v>3.6999999999999998E-5</v>
      </c>
      <c r="D180">
        <v>5.9056280635445578E-5</v>
      </c>
      <c r="E180" s="18"/>
      <c r="F180" s="18"/>
      <c r="G180" s="18">
        <f t="shared" si="47"/>
        <v>0</v>
      </c>
      <c r="H180" s="18">
        <f t="shared" si="48"/>
        <v>0</v>
      </c>
      <c r="I180" s="18"/>
      <c r="J180" s="18"/>
      <c r="K180" s="18">
        <f t="shared" si="49"/>
        <v>0</v>
      </c>
      <c r="L180" s="18">
        <f t="shared" si="50"/>
        <v>0</v>
      </c>
      <c r="M180" s="18"/>
      <c r="N180" s="18"/>
      <c r="O180" s="18">
        <f t="shared" si="51"/>
        <v>0</v>
      </c>
      <c r="P180" s="18">
        <f t="shared" si="52"/>
        <v>0</v>
      </c>
      <c r="Q180" s="18"/>
      <c r="R180" s="18"/>
      <c r="S180" s="18">
        <f t="shared" si="53"/>
        <v>0</v>
      </c>
      <c r="T180" s="18">
        <f t="shared" si="54"/>
        <v>0</v>
      </c>
      <c r="U180" s="18"/>
      <c r="V180" s="18"/>
      <c r="W180" s="18">
        <f t="shared" si="55"/>
        <v>0</v>
      </c>
      <c r="X180" s="18">
        <f t="shared" si="56"/>
        <v>0</v>
      </c>
      <c r="Y180" s="18"/>
      <c r="Z180" s="18"/>
      <c r="AA180" s="18">
        <f t="shared" si="57"/>
        <v>0</v>
      </c>
      <c r="AB180" s="18">
        <f t="shared" si="58"/>
        <v>0</v>
      </c>
      <c r="AC180" s="18"/>
      <c r="AD180" s="18"/>
      <c r="AE180" s="18">
        <f t="shared" si="59"/>
        <v>0</v>
      </c>
      <c r="AF180" s="18">
        <f t="shared" si="60"/>
        <v>0</v>
      </c>
      <c r="AG180" s="18"/>
      <c r="AH180" s="18"/>
      <c r="AI180" s="18">
        <f t="shared" si="43"/>
        <v>0</v>
      </c>
      <c r="AJ180" s="18">
        <f t="shared" si="44"/>
        <v>0</v>
      </c>
      <c r="AK180" s="18"/>
      <c r="AL180" s="18"/>
      <c r="AM180" s="18">
        <f t="shared" si="45"/>
        <v>0</v>
      </c>
      <c r="AN180" s="18">
        <f t="shared" si="46"/>
        <v>0</v>
      </c>
      <c r="AP180">
        <f t="shared" si="61"/>
        <v>0</v>
      </c>
      <c r="AQ180">
        <f t="shared" si="62"/>
        <v>0</v>
      </c>
      <c r="AR180">
        <f t="shared" si="63"/>
        <v>0</v>
      </c>
    </row>
    <row r="181" spans="1:44" x14ac:dyDescent="0.3">
      <c r="A181" s="2" t="s">
        <v>366</v>
      </c>
      <c r="B181" s="2" t="s">
        <v>367</v>
      </c>
      <c r="C181">
        <v>2.23E-4</v>
      </c>
      <c r="D181">
        <v>3.5433768381267346E-4</v>
      </c>
      <c r="E181" s="18"/>
      <c r="F181" s="18"/>
      <c r="G181" s="18">
        <f t="shared" si="47"/>
        <v>0</v>
      </c>
      <c r="H181" s="18">
        <f t="shared" si="48"/>
        <v>0</v>
      </c>
      <c r="I181" s="18"/>
      <c r="J181" s="18"/>
      <c r="K181" s="18">
        <f t="shared" si="49"/>
        <v>0</v>
      </c>
      <c r="L181" s="18">
        <f t="shared" si="50"/>
        <v>0</v>
      </c>
      <c r="M181" s="18"/>
      <c r="N181" s="18"/>
      <c r="O181" s="18">
        <f t="shared" si="51"/>
        <v>0</v>
      </c>
      <c r="P181" s="18">
        <f t="shared" si="52"/>
        <v>0</v>
      </c>
      <c r="Q181" s="18"/>
      <c r="R181" s="18"/>
      <c r="S181" s="18">
        <f t="shared" si="53"/>
        <v>0</v>
      </c>
      <c r="T181" s="18">
        <f t="shared" si="54"/>
        <v>0</v>
      </c>
      <c r="U181" s="18"/>
      <c r="V181" s="18"/>
      <c r="W181" s="18">
        <f t="shared" si="55"/>
        <v>0</v>
      </c>
      <c r="X181" s="18">
        <f t="shared" si="56"/>
        <v>0</v>
      </c>
      <c r="Y181" s="18"/>
      <c r="Z181" s="18"/>
      <c r="AA181" s="18">
        <f t="shared" si="57"/>
        <v>0</v>
      </c>
      <c r="AB181" s="18">
        <f t="shared" si="58"/>
        <v>0</v>
      </c>
      <c r="AC181" s="18"/>
      <c r="AD181" s="18"/>
      <c r="AE181" s="18">
        <f t="shared" si="59"/>
        <v>0</v>
      </c>
      <c r="AF181" s="18">
        <f t="shared" si="60"/>
        <v>0</v>
      </c>
      <c r="AG181" s="18"/>
      <c r="AH181" s="18"/>
      <c r="AI181" s="18">
        <f t="shared" si="43"/>
        <v>0</v>
      </c>
      <c r="AJ181" s="18">
        <f t="shared" si="44"/>
        <v>0</v>
      </c>
      <c r="AK181" s="18"/>
      <c r="AL181" s="18"/>
      <c r="AM181" s="18">
        <f t="shared" si="45"/>
        <v>0</v>
      </c>
      <c r="AN181" s="18">
        <f t="shared" si="46"/>
        <v>0</v>
      </c>
      <c r="AP181">
        <f t="shared" si="61"/>
        <v>0</v>
      </c>
      <c r="AQ181">
        <f t="shared" si="62"/>
        <v>0</v>
      </c>
      <c r="AR181">
        <f t="shared" si="63"/>
        <v>0</v>
      </c>
    </row>
    <row r="182" spans="1:44" x14ac:dyDescent="0.3">
      <c r="A182" s="2" t="s">
        <v>368</v>
      </c>
      <c r="B182" s="2" t="s">
        <v>369</v>
      </c>
      <c r="C182">
        <v>1.536E-3</v>
      </c>
      <c r="D182">
        <v>1.901407741884537E-3</v>
      </c>
      <c r="E182" s="18"/>
      <c r="F182" s="18"/>
      <c r="G182" s="18">
        <f t="shared" si="47"/>
        <v>0</v>
      </c>
      <c r="H182" s="18">
        <f t="shared" si="48"/>
        <v>0</v>
      </c>
      <c r="I182" s="18"/>
      <c r="J182" s="18"/>
      <c r="K182" s="18">
        <f t="shared" si="49"/>
        <v>0</v>
      </c>
      <c r="L182" s="18">
        <f t="shared" si="50"/>
        <v>0</v>
      </c>
      <c r="M182" s="18"/>
      <c r="N182" s="18"/>
      <c r="O182" s="18">
        <f t="shared" si="51"/>
        <v>0</v>
      </c>
      <c r="P182" s="18">
        <f t="shared" si="52"/>
        <v>0</v>
      </c>
      <c r="Q182" s="18"/>
      <c r="R182" s="18"/>
      <c r="S182" s="18">
        <f t="shared" si="53"/>
        <v>0</v>
      </c>
      <c r="T182" s="18">
        <f t="shared" si="54"/>
        <v>0</v>
      </c>
      <c r="U182" s="18"/>
      <c r="V182" s="18"/>
      <c r="W182" s="18">
        <f t="shared" si="55"/>
        <v>0</v>
      </c>
      <c r="X182" s="18">
        <f t="shared" si="56"/>
        <v>0</v>
      </c>
      <c r="Y182" s="18"/>
      <c r="Z182" s="18"/>
      <c r="AA182" s="18">
        <f t="shared" si="57"/>
        <v>0</v>
      </c>
      <c r="AB182" s="18">
        <f t="shared" si="58"/>
        <v>0</v>
      </c>
      <c r="AC182" s="18"/>
      <c r="AD182" s="18"/>
      <c r="AE182" s="18">
        <f t="shared" si="59"/>
        <v>0</v>
      </c>
      <c r="AF182" s="18">
        <f t="shared" si="60"/>
        <v>0</v>
      </c>
      <c r="AG182" s="18"/>
      <c r="AH182" s="18"/>
      <c r="AI182" s="18">
        <f t="shared" si="43"/>
        <v>0</v>
      </c>
      <c r="AJ182" s="18">
        <f t="shared" si="44"/>
        <v>0</v>
      </c>
      <c r="AK182" s="18"/>
      <c r="AL182" s="18"/>
      <c r="AM182" s="18">
        <f t="shared" si="45"/>
        <v>0</v>
      </c>
      <c r="AN182" s="18">
        <f t="shared" si="46"/>
        <v>0</v>
      </c>
      <c r="AP182">
        <f t="shared" si="61"/>
        <v>0</v>
      </c>
      <c r="AQ182">
        <f t="shared" si="62"/>
        <v>0</v>
      </c>
      <c r="AR182">
        <f t="shared" si="63"/>
        <v>0</v>
      </c>
    </row>
    <row r="183" spans="1:44" x14ac:dyDescent="0.3">
      <c r="A183" s="2" t="s">
        <v>370</v>
      </c>
      <c r="B183" s="2" t="s">
        <v>371</v>
      </c>
      <c r="C183">
        <v>4.2299999999999998E-4</v>
      </c>
      <c r="D183">
        <v>5.6144422773523608E-4</v>
      </c>
      <c r="E183" s="18"/>
      <c r="F183" s="18"/>
      <c r="G183" s="18">
        <f t="shared" si="47"/>
        <v>0</v>
      </c>
      <c r="H183" s="18">
        <f t="shared" si="48"/>
        <v>0</v>
      </c>
      <c r="I183" s="18"/>
      <c r="J183" s="18"/>
      <c r="K183" s="18">
        <f t="shared" si="49"/>
        <v>0</v>
      </c>
      <c r="L183" s="18">
        <f t="shared" si="50"/>
        <v>0</v>
      </c>
      <c r="M183" s="18">
        <v>8.9585572243590177E-4</v>
      </c>
      <c r="N183" s="18"/>
      <c r="O183" s="18">
        <f t="shared" si="51"/>
        <v>2.2396393060897544E-4</v>
      </c>
      <c r="P183" s="18">
        <f t="shared" si="52"/>
        <v>1.5956272737002228</v>
      </c>
      <c r="Q183" s="18"/>
      <c r="R183" s="18"/>
      <c r="S183" s="18">
        <f t="shared" si="53"/>
        <v>0</v>
      </c>
      <c r="T183" s="18">
        <f t="shared" si="54"/>
        <v>0</v>
      </c>
      <c r="U183" s="18"/>
      <c r="V183" s="18"/>
      <c r="W183" s="18">
        <f t="shared" si="55"/>
        <v>0</v>
      </c>
      <c r="X183" s="18">
        <f t="shared" si="56"/>
        <v>0</v>
      </c>
      <c r="Y183" s="18"/>
      <c r="Z183" s="18"/>
      <c r="AA183" s="18">
        <f t="shared" si="57"/>
        <v>0</v>
      </c>
      <c r="AB183" s="18">
        <f t="shared" si="58"/>
        <v>0</v>
      </c>
      <c r="AC183" s="18"/>
      <c r="AD183" s="18"/>
      <c r="AE183" s="18">
        <f t="shared" si="59"/>
        <v>0</v>
      </c>
      <c r="AF183" s="18">
        <f t="shared" si="60"/>
        <v>0</v>
      </c>
      <c r="AG183" s="18"/>
      <c r="AH183" s="18"/>
      <c r="AI183" s="18">
        <f t="shared" si="43"/>
        <v>0</v>
      </c>
      <c r="AJ183" s="18">
        <f t="shared" si="44"/>
        <v>0</v>
      </c>
      <c r="AK183" s="18"/>
      <c r="AL183" s="18"/>
      <c r="AM183" s="18">
        <f t="shared" si="45"/>
        <v>0</v>
      </c>
      <c r="AN183" s="18">
        <f t="shared" si="46"/>
        <v>0</v>
      </c>
      <c r="AP183">
        <f t="shared" si="61"/>
        <v>0</v>
      </c>
      <c r="AQ183">
        <f t="shared" si="62"/>
        <v>0</v>
      </c>
      <c r="AR183">
        <f t="shared" si="63"/>
        <v>0</v>
      </c>
    </row>
    <row r="184" spans="1:44" x14ac:dyDescent="0.3">
      <c r="A184" s="2" t="s">
        <v>372</v>
      </c>
      <c r="B184" s="2" t="s">
        <v>373</v>
      </c>
      <c r="C184">
        <v>4.4720000000000003E-3</v>
      </c>
      <c r="D184">
        <v>4.471779338808728E-3</v>
      </c>
      <c r="E184" s="18"/>
      <c r="F184" s="18"/>
      <c r="G184" s="18">
        <f t="shared" si="47"/>
        <v>0</v>
      </c>
      <c r="H184" s="18">
        <f t="shared" si="48"/>
        <v>0</v>
      </c>
      <c r="I184" s="18"/>
      <c r="J184" s="18"/>
      <c r="K184" s="18">
        <f t="shared" si="49"/>
        <v>0</v>
      </c>
      <c r="L184" s="18">
        <f t="shared" si="50"/>
        <v>0</v>
      </c>
      <c r="M184" s="18"/>
      <c r="N184" s="18"/>
      <c r="O184" s="18">
        <f t="shared" si="51"/>
        <v>0</v>
      </c>
      <c r="P184" s="18">
        <f t="shared" si="52"/>
        <v>0</v>
      </c>
      <c r="Q184" s="18"/>
      <c r="R184" s="18"/>
      <c r="S184" s="18">
        <f t="shared" si="53"/>
        <v>0</v>
      </c>
      <c r="T184" s="18">
        <f t="shared" si="54"/>
        <v>0</v>
      </c>
      <c r="U184" s="18"/>
      <c r="V184" s="18"/>
      <c r="W184" s="18">
        <f t="shared" si="55"/>
        <v>0</v>
      </c>
      <c r="X184" s="18">
        <f t="shared" si="56"/>
        <v>0</v>
      </c>
      <c r="Y184" s="18"/>
      <c r="Z184" s="18"/>
      <c r="AA184" s="18">
        <f t="shared" si="57"/>
        <v>0</v>
      </c>
      <c r="AB184" s="18">
        <f t="shared" si="58"/>
        <v>0</v>
      </c>
      <c r="AC184" s="18"/>
      <c r="AD184" s="18"/>
      <c r="AE184" s="18">
        <f t="shared" si="59"/>
        <v>0</v>
      </c>
      <c r="AF184" s="18">
        <f t="shared" si="60"/>
        <v>0</v>
      </c>
      <c r="AG184" s="18"/>
      <c r="AH184" s="18"/>
      <c r="AI184" s="18">
        <f t="shared" si="43"/>
        <v>0</v>
      </c>
      <c r="AJ184" s="18">
        <f t="shared" si="44"/>
        <v>0</v>
      </c>
      <c r="AK184" s="18"/>
      <c r="AL184" s="18"/>
      <c r="AM184" s="18">
        <f t="shared" si="45"/>
        <v>0</v>
      </c>
      <c r="AN184" s="18">
        <f t="shared" si="46"/>
        <v>0</v>
      </c>
      <c r="AP184">
        <f t="shared" si="61"/>
        <v>0</v>
      </c>
      <c r="AQ184">
        <f t="shared" si="62"/>
        <v>0</v>
      </c>
      <c r="AR184">
        <f t="shared" si="63"/>
        <v>0</v>
      </c>
    </row>
    <row r="185" spans="1:44" x14ac:dyDescent="0.3">
      <c r="A185" s="2" t="s">
        <v>374</v>
      </c>
      <c r="B185" s="2" t="s">
        <v>375</v>
      </c>
      <c r="C185">
        <v>2.1599999999999999E-4</v>
      </c>
      <c r="D185">
        <v>2.1613710502873851E-4</v>
      </c>
      <c r="E185" s="18"/>
      <c r="F185" s="18"/>
      <c r="G185" s="18">
        <f t="shared" si="47"/>
        <v>0</v>
      </c>
      <c r="H185" s="18">
        <f t="shared" si="48"/>
        <v>0</v>
      </c>
      <c r="I185" s="18"/>
      <c r="J185" s="18"/>
      <c r="K185" s="18">
        <f t="shared" si="49"/>
        <v>0</v>
      </c>
      <c r="L185" s="18">
        <f t="shared" si="50"/>
        <v>0</v>
      </c>
      <c r="M185" s="18"/>
      <c r="N185" s="18"/>
      <c r="O185" s="18">
        <f t="shared" si="51"/>
        <v>0</v>
      </c>
      <c r="P185" s="18">
        <f t="shared" si="52"/>
        <v>0</v>
      </c>
      <c r="Q185" s="18"/>
      <c r="R185" s="18"/>
      <c r="S185" s="18">
        <f t="shared" si="53"/>
        <v>0</v>
      </c>
      <c r="T185" s="18">
        <f t="shared" si="54"/>
        <v>0</v>
      </c>
      <c r="U185" s="18"/>
      <c r="V185" s="18"/>
      <c r="W185" s="18">
        <f t="shared" si="55"/>
        <v>0</v>
      </c>
      <c r="X185" s="18">
        <f t="shared" si="56"/>
        <v>0</v>
      </c>
      <c r="Y185" s="18"/>
      <c r="Z185" s="18"/>
      <c r="AA185" s="18">
        <f t="shared" si="57"/>
        <v>0</v>
      </c>
      <c r="AB185" s="18">
        <f t="shared" si="58"/>
        <v>0</v>
      </c>
      <c r="AC185" s="18"/>
      <c r="AD185" s="18"/>
      <c r="AE185" s="18">
        <f t="shared" si="59"/>
        <v>0</v>
      </c>
      <c r="AF185" s="18">
        <f t="shared" si="60"/>
        <v>0</v>
      </c>
      <c r="AG185" s="18"/>
      <c r="AH185" s="18"/>
      <c r="AI185" s="18">
        <f t="shared" si="43"/>
        <v>0</v>
      </c>
      <c r="AJ185" s="18">
        <f t="shared" si="44"/>
        <v>0</v>
      </c>
      <c r="AK185" s="18"/>
      <c r="AL185" s="18"/>
      <c r="AM185" s="18">
        <f t="shared" si="45"/>
        <v>0</v>
      </c>
      <c r="AN185" s="18">
        <f t="shared" si="46"/>
        <v>0</v>
      </c>
      <c r="AP185">
        <f t="shared" si="61"/>
        <v>0</v>
      </c>
      <c r="AQ185">
        <f t="shared" si="62"/>
        <v>0</v>
      </c>
      <c r="AR185">
        <f t="shared" si="63"/>
        <v>0</v>
      </c>
    </row>
    <row r="186" spans="1:44" x14ac:dyDescent="0.3">
      <c r="A186" s="2" t="s">
        <v>376</v>
      </c>
      <c r="B186" s="2" t="s">
        <v>377</v>
      </c>
      <c r="C186">
        <v>1.9599999999999999E-4</v>
      </c>
      <c r="D186">
        <v>1.9580336541771489E-4</v>
      </c>
      <c r="E186" s="18"/>
      <c r="F186" s="18"/>
      <c r="G186" s="18">
        <f t="shared" si="47"/>
        <v>0</v>
      </c>
      <c r="H186" s="18">
        <f t="shared" si="48"/>
        <v>0</v>
      </c>
      <c r="I186" s="18"/>
      <c r="J186" s="18"/>
      <c r="K186" s="18">
        <f t="shared" si="49"/>
        <v>0</v>
      </c>
      <c r="L186" s="18">
        <f t="shared" si="50"/>
        <v>0</v>
      </c>
      <c r="M186" s="18"/>
      <c r="N186" s="18"/>
      <c r="O186" s="18">
        <f t="shared" si="51"/>
        <v>0</v>
      </c>
      <c r="P186" s="18">
        <f t="shared" si="52"/>
        <v>0</v>
      </c>
      <c r="Q186" s="18"/>
      <c r="R186" s="18"/>
      <c r="S186" s="18">
        <f t="shared" si="53"/>
        <v>0</v>
      </c>
      <c r="T186" s="18">
        <f t="shared" si="54"/>
        <v>0</v>
      </c>
      <c r="U186" s="18"/>
      <c r="V186" s="18"/>
      <c r="W186" s="18">
        <f t="shared" si="55"/>
        <v>0</v>
      </c>
      <c r="X186" s="18">
        <f t="shared" si="56"/>
        <v>0</v>
      </c>
      <c r="Y186" s="18"/>
      <c r="Z186" s="18"/>
      <c r="AA186" s="18">
        <f t="shared" si="57"/>
        <v>0</v>
      </c>
      <c r="AB186" s="18">
        <f t="shared" si="58"/>
        <v>0</v>
      </c>
      <c r="AC186" s="18"/>
      <c r="AD186" s="18"/>
      <c r="AE186" s="18">
        <f t="shared" si="59"/>
        <v>0</v>
      </c>
      <c r="AF186" s="18">
        <f t="shared" si="60"/>
        <v>0</v>
      </c>
      <c r="AG186" s="18"/>
      <c r="AH186" s="18"/>
      <c r="AI186" s="18">
        <f t="shared" si="43"/>
        <v>0</v>
      </c>
      <c r="AJ186" s="18">
        <f t="shared" si="44"/>
        <v>0</v>
      </c>
      <c r="AK186" s="18"/>
      <c r="AL186" s="18"/>
      <c r="AM186" s="18">
        <f t="shared" si="45"/>
        <v>0</v>
      </c>
      <c r="AN186" s="18">
        <f t="shared" si="46"/>
        <v>0</v>
      </c>
      <c r="AP186">
        <f t="shared" si="61"/>
        <v>0</v>
      </c>
      <c r="AQ186">
        <f t="shared" si="62"/>
        <v>0</v>
      </c>
      <c r="AR186">
        <f t="shared" si="63"/>
        <v>0</v>
      </c>
    </row>
    <row r="187" spans="1:44" x14ac:dyDescent="0.3">
      <c r="A187" s="2" t="s">
        <v>378</v>
      </c>
      <c r="B187" s="2" t="s">
        <v>379</v>
      </c>
      <c r="C187">
        <v>4.8999999999999998E-5</v>
      </c>
      <c r="D187">
        <v>5.6933803913365339E-5</v>
      </c>
      <c r="E187" s="18"/>
      <c r="F187" s="18"/>
      <c r="G187" s="18">
        <f t="shared" si="47"/>
        <v>0</v>
      </c>
      <c r="H187" s="18">
        <f t="shared" si="48"/>
        <v>0</v>
      </c>
      <c r="I187" s="18"/>
      <c r="J187" s="18"/>
      <c r="K187" s="18">
        <f t="shared" si="49"/>
        <v>0</v>
      </c>
      <c r="L187" s="18">
        <f t="shared" si="50"/>
        <v>0</v>
      </c>
      <c r="M187" s="18"/>
      <c r="N187" s="18"/>
      <c r="O187" s="18">
        <f t="shared" si="51"/>
        <v>0</v>
      </c>
      <c r="P187" s="18">
        <f t="shared" si="52"/>
        <v>0</v>
      </c>
      <c r="Q187" s="18"/>
      <c r="R187" s="18"/>
      <c r="S187" s="18">
        <f t="shared" si="53"/>
        <v>0</v>
      </c>
      <c r="T187" s="18">
        <f t="shared" si="54"/>
        <v>0</v>
      </c>
      <c r="U187" s="18"/>
      <c r="V187" s="18"/>
      <c r="W187" s="18">
        <f t="shared" si="55"/>
        <v>0</v>
      </c>
      <c r="X187" s="18">
        <f t="shared" si="56"/>
        <v>0</v>
      </c>
      <c r="Y187" s="18"/>
      <c r="Z187" s="18"/>
      <c r="AA187" s="18">
        <f t="shared" si="57"/>
        <v>0</v>
      </c>
      <c r="AB187" s="18">
        <f t="shared" si="58"/>
        <v>0</v>
      </c>
      <c r="AC187" s="18"/>
      <c r="AD187" s="18"/>
      <c r="AE187" s="18">
        <f t="shared" si="59"/>
        <v>0</v>
      </c>
      <c r="AF187" s="18">
        <f t="shared" si="60"/>
        <v>0</v>
      </c>
      <c r="AG187" s="18"/>
      <c r="AH187" s="18"/>
      <c r="AI187" s="18">
        <f t="shared" si="43"/>
        <v>0</v>
      </c>
      <c r="AJ187" s="18">
        <f t="shared" si="44"/>
        <v>0</v>
      </c>
      <c r="AK187" s="18"/>
      <c r="AL187" s="18"/>
      <c r="AM187" s="18">
        <f t="shared" si="45"/>
        <v>0</v>
      </c>
      <c r="AN187" s="18">
        <f t="shared" si="46"/>
        <v>0</v>
      </c>
      <c r="AP187">
        <f t="shared" si="61"/>
        <v>0</v>
      </c>
      <c r="AQ187">
        <f t="shared" si="62"/>
        <v>0</v>
      </c>
      <c r="AR187">
        <f t="shared" si="63"/>
        <v>0</v>
      </c>
    </row>
    <row r="188" spans="1:44" x14ac:dyDescent="0.3">
      <c r="A188" s="2" t="s">
        <v>380</v>
      </c>
      <c r="B188" s="2" t="s">
        <v>381</v>
      </c>
      <c r="C188">
        <v>6.1260000000000004E-3</v>
      </c>
      <c r="D188">
        <v>7.6881438068450037E-3</v>
      </c>
      <c r="E188" s="18"/>
      <c r="F188" s="18"/>
      <c r="G188" s="18">
        <f t="shared" si="47"/>
        <v>0</v>
      </c>
      <c r="H188" s="18">
        <f t="shared" si="48"/>
        <v>0</v>
      </c>
      <c r="I188" s="18"/>
      <c r="J188" s="18"/>
      <c r="K188" s="18">
        <f t="shared" si="49"/>
        <v>0</v>
      </c>
      <c r="L188" s="18">
        <f t="shared" si="50"/>
        <v>0</v>
      </c>
      <c r="M188" s="18">
        <v>2.071666358133023E-2</v>
      </c>
      <c r="N188" s="18"/>
      <c r="O188" s="18">
        <f t="shared" si="51"/>
        <v>5.1791658953325576E-3</v>
      </c>
      <c r="P188" s="18">
        <f t="shared" si="52"/>
        <v>2.6946248797902963</v>
      </c>
      <c r="Q188" s="18"/>
      <c r="R188" s="18"/>
      <c r="S188" s="18">
        <f t="shared" si="53"/>
        <v>0</v>
      </c>
      <c r="T188" s="18">
        <f t="shared" si="54"/>
        <v>0</v>
      </c>
      <c r="U188" s="18"/>
      <c r="V188" s="18"/>
      <c r="W188" s="18">
        <f t="shared" si="55"/>
        <v>0</v>
      </c>
      <c r="X188" s="18">
        <f t="shared" si="56"/>
        <v>0</v>
      </c>
      <c r="Y188" s="18"/>
      <c r="Z188" s="18"/>
      <c r="AA188" s="18">
        <f t="shared" si="57"/>
        <v>0</v>
      </c>
      <c r="AB188" s="18">
        <f t="shared" si="58"/>
        <v>0</v>
      </c>
      <c r="AC188" s="18"/>
      <c r="AD188" s="18"/>
      <c r="AE188" s="18">
        <f t="shared" si="59"/>
        <v>0</v>
      </c>
      <c r="AF188" s="18">
        <f t="shared" si="60"/>
        <v>0</v>
      </c>
      <c r="AG188" s="18"/>
      <c r="AH188" s="18"/>
      <c r="AI188" s="18">
        <f t="shared" si="43"/>
        <v>0</v>
      </c>
      <c r="AJ188" s="18">
        <f t="shared" si="44"/>
        <v>0</v>
      </c>
      <c r="AK188" s="18"/>
      <c r="AL188" s="18"/>
      <c r="AM188" s="18">
        <f t="shared" si="45"/>
        <v>0</v>
      </c>
      <c r="AN188" s="18">
        <f t="shared" si="46"/>
        <v>0</v>
      </c>
      <c r="AP188">
        <f t="shared" si="61"/>
        <v>0</v>
      </c>
      <c r="AQ188">
        <f t="shared" si="62"/>
        <v>0</v>
      </c>
      <c r="AR188">
        <f t="shared" si="63"/>
        <v>0</v>
      </c>
    </row>
    <row r="189" spans="1:44" x14ac:dyDescent="0.3">
      <c r="A189" s="2" t="s">
        <v>382</v>
      </c>
      <c r="B189" s="2" t="s">
        <v>383</v>
      </c>
      <c r="C189">
        <v>1.6169999999999999E-3</v>
      </c>
      <c r="D189">
        <v>1.6171605445299104E-3</v>
      </c>
      <c r="E189" s="18"/>
      <c r="F189" s="18"/>
      <c r="G189" s="18">
        <f t="shared" si="47"/>
        <v>0</v>
      </c>
      <c r="H189" s="18">
        <f t="shared" si="48"/>
        <v>0</v>
      </c>
      <c r="I189" s="18"/>
      <c r="J189" s="18"/>
      <c r="K189" s="18">
        <f t="shared" si="49"/>
        <v>0</v>
      </c>
      <c r="L189" s="18">
        <f t="shared" si="50"/>
        <v>0</v>
      </c>
      <c r="M189" s="18"/>
      <c r="N189" s="18"/>
      <c r="O189" s="18">
        <f t="shared" si="51"/>
        <v>0</v>
      </c>
      <c r="P189" s="18">
        <f t="shared" si="52"/>
        <v>0</v>
      </c>
      <c r="Q189" s="18"/>
      <c r="R189" s="18"/>
      <c r="S189" s="18">
        <f t="shared" si="53"/>
        <v>0</v>
      </c>
      <c r="T189" s="18">
        <f t="shared" si="54"/>
        <v>0</v>
      </c>
      <c r="U189" s="18">
        <v>1.0241854068210746E-3</v>
      </c>
      <c r="V189" s="18"/>
      <c r="W189" s="18">
        <f t="shared" si="55"/>
        <v>4.0967416272842986E-4</v>
      </c>
      <c r="X189" s="18">
        <f t="shared" si="56"/>
        <v>0.63332327163521873</v>
      </c>
      <c r="Y189" s="18"/>
      <c r="Z189" s="18"/>
      <c r="AA189" s="18">
        <f t="shared" si="57"/>
        <v>0</v>
      </c>
      <c r="AB189" s="18">
        <f t="shared" si="58"/>
        <v>0</v>
      </c>
      <c r="AC189" s="18"/>
      <c r="AD189" s="18"/>
      <c r="AE189" s="18">
        <f t="shared" si="59"/>
        <v>0</v>
      </c>
      <c r="AF189" s="18">
        <f t="shared" si="60"/>
        <v>0</v>
      </c>
      <c r="AG189" s="18"/>
      <c r="AH189" s="18"/>
      <c r="AI189" s="18">
        <f t="shared" si="43"/>
        <v>0</v>
      </c>
      <c r="AJ189" s="18">
        <f t="shared" si="44"/>
        <v>0</v>
      </c>
      <c r="AK189" s="18"/>
      <c r="AL189" s="18"/>
      <c r="AM189" s="18">
        <f t="shared" si="45"/>
        <v>0</v>
      </c>
      <c r="AN189" s="18">
        <f t="shared" si="46"/>
        <v>0</v>
      </c>
      <c r="AP189">
        <f t="shared" si="61"/>
        <v>0</v>
      </c>
      <c r="AQ189">
        <f t="shared" si="62"/>
        <v>0</v>
      </c>
      <c r="AR189">
        <f t="shared" si="63"/>
        <v>0</v>
      </c>
    </row>
    <row r="190" spans="1:44" x14ac:dyDescent="0.3">
      <c r="A190" s="2" t="s">
        <v>384</v>
      </c>
      <c r="B190" s="2" t="s">
        <v>385</v>
      </c>
      <c r="C190">
        <v>8.2000000000000001E-5</v>
      </c>
      <c r="D190">
        <v>8.2014270483064065E-5</v>
      </c>
      <c r="E190" s="18"/>
      <c r="F190" s="18"/>
      <c r="G190" s="18">
        <f t="shared" si="47"/>
        <v>0</v>
      </c>
      <c r="H190" s="18">
        <f t="shared" si="48"/>
        <v>0</v>
      </c>
      <c r="I190" s="18"/>
      <c r="J190" s="18"/>
      <c r="K190" s="18">
        <f t="shared" si="49"/>
        <v>0</v>
      </c>
      <c r="L190" s="18">
        <f t="shared" si="50"/>
        <v>0</v>
      </c>
      <c r="M190" s="18"/>
      <c r="N190" s="18"/>
      <c r="O190" s="18">
        <f t="shared" si="51"/>
        <v>0</v>
      </c>
      <c r="P190" s="18">
        <f t="shared" si="52"/>
        <v>0</v>
      </c>
      <c r="Q190" s="18"/>
      <c r="R190" s="18"/>
      <c r="S190" s="18">
        <f t="shared" si="53"/>
        <v>0</v>
      </c>
      <c r="T190" s="18">
        <f t="shared" si="54"/>
        <v>0</v>
      </c>
      <c r="U190" s="18"/>
      <c r="V190" s="18"/>
      <c r="W190" s="18">
        <f t="shared" si="55"/>
        <v>0</v>
      </c>
      <c r="X190" s="18">
        <f t="shared" si="56"/>
        <v>0</v>
      </c>
      <c r="Y190" s="18"/>
      <c r="Z190" s="18"/>
      <c r="AA190" s="18">
        <f t="shared" si="57"/>
        <v>0</v>
      </c>
      <c r="AB190" s="18">
        <f t="shared" si="58"/>
        <v>0</v>
      </c>
      <c r="AC190" s="18"/>
      <c r="AD190" s="18"/>
      <c r="AE190" s="18">
        <f t="shared" si="59"/>
        <v>0</v>
      </c>
      <c r="AF190" s="18">
        <f t="shared" si="60"/>
        <v>0</v>
      </c>
      <c r="AG190" s="18"/>
      <c r="AH190" s="18"/>
      <c r="AI190" s="18">
        <f t="shared" si="43"/>
        <v>0</v>
      </c>
      <c r="AJ190" s="18">
        <f t="shared" si="44"/>
        <v>0</v>
      </c>
      <c r="AK190" s="18"/>
      <c r="AL190" s="18"/>
      <c r="AM190" s="18">
        <f t="shared" si="45"/>
        <v>0</v>
      </c>
      <c r="AN190" s="18">
        <f t="shared" si="46"/>
        <v>0</v>
      </c>
      <c r="AP190">
        <f t="shared" si="61"/>
        <v>0</v>
      </c>
      <c r="AQ190">
        <f t="shared" si="62"/>
        <v>0</v>
      </c>
      <c r="AR190">
        <f t="shared" si="63"/>
        <v>0</v>
      </c>
    </row>
    <row r="191" spans="1:44" x14ac:dyDescent="0.3">
      <c r="A191" s="2" t="s">
        <v>386</v>
      </c>
      <c r="B191" s="2" t="s">
        <v>387</v>
      </c>
      <c r="C191">
        <v>1.9404000000000001E-2</v>
      </c>
      <c r="D191">
        <v>1.9403911828624647E-2</v>
      </c>
      <c r="E191" s="18"/>
      <c r="F191" s="18"/>
      <c r="G191" s="18">
        <f t="shared" si="47"/>
        <v>0</v>
      </c>
      <c r="H191" s="18">
        <f t="shared" si="48"/>
        <v>0</v>
      </c>
      <c r="I191" s="18"/>
      <c r="J191" s="18"/>
      <c r="K191" s="18">
        <f t="shared" si="49"/>
        <v>0</v>
      </c>
      <c r="L191" s="18">
        <f t="shared" si="50"/>
        <v>0</v>
      </c>
      <c r="M191" s="18"/>
      <c r="N191" s="18"/>
      <c r="O191" s="18">
        <f t="shared" si="51"/>
        <v>0</v>
      </c>
      <c r="P191" s="18">
        <f t="shared" si="52"/>
        <v>0</v>
      </c>
      <c r="Q191" s="18"/>
      <c r="R191" s="18"/>
      <c r="S191" s="18">
        <f t="shared" si="53"/>
        <v>0</v>
      </c>
      <c r="T191" s="18">
        <f t="shared" si="54"/>
        <v>0</v>
      </c>
      <c r="U191" s="18"/>
      <c r="V191" s="18"/>
      <c r="W191" s="18">
        <f t="shared" si="55"/>
        <v>0</v>
      </c>
      <c r="X191" s="18">
        <f t="shared" si="56"/>
        <v>0</v>
      </c>
      <c r="Y191" s="18"/>
      <c r="Z191" s="18"/>
      <c r="AA191" s="18">
        <f t="shared" si="57"/>
        <v>0</v>
      </c>
      <c r="AB191" s="18">
        <f t="shared" si="58"/>
        <v>0</v>
      </c>
      <c r="AC191" s="18"/>
      <c r="AD191" s="18"/>
      <c r="AE191" s="18">
        <f t="shared" si="59"/>
        <v>0</v>
      </c>
      <c r="AF191" s="18">
        <f t="shared" si="60"/>
        <v>0</v>
      </c>
      <c r="AG191" s="18"/>
      <c r="AH191" s="18"/>
      <c r="AI191" s="18">
        <f t="shared" si="43"/>
        <v>0</v>
      </c>
      <c r="AJ191" s="18">
        <f t="shared" si="44"/>
        <v>0</v>
      </c>
      <c r="AK191" s="18"/>
      <c r="AL191" s="18"/>
      <c r="AM191" s="18">
        <f t="shared" si="45"/>
        <v>0</v>
      </c>
      <c r="AN191" s="18">
        <f t="shared" si="46"/>
        <v>0</v>
      </c>
      <c r="AP191">
        <f t="shared" si="61"/>
        <v>0</v>
      </c>
      <c r="AQ191">
        <f t="shared" si="62"/>
        <v>0</v>
      </c>
      <c r="AR191">
        <f t="shared" si="63"/>
        <v>0</v>
      </c>
    </row>
    <row r="192" spans="1:44" x14ac:dyDescent="0.3">
      <c r="A192" s="2" t="s">
        <v>388</v>
      </c>
      <c r="B192" s="2" t="s">
        <v>389</v>
      </c>
      <c r="C192">
        <v>1.0204E-2</v>
      </c>
      <c r="D192">
        <v>1.0409793657400565E-2</v>
      </c>
      <c r="E192" s="18"/>
      <c r="F192" s="18"/>
      <c r="G192" s="18">
        <f t="shared" si="47"/>
        <v>0</v>
      </c>
      <c r="H192" s="18">
        <f t="shared" si="48"/>
        <v>0</v>
      </c>
      <c r="I192" s="18"/>
      <c r="J192" s="18"/>
      <c r="K192" s="18">
        <f t="shared" si="49"/>
        <v>0</v>
      </c>
      <c r="L192" s="18">
        <f t="shared" si="50"/>
        <v>0</v>
      </c>
      <c r="M192" s="18"/>
      <c r="N192" s="18"/>
      <c r="O192" s="18">
        <f t="shared" si="51"/>
        <v>0</v>
      </c>
      <c r="P192" s="18">
        <f t="shared" si="52"/>
        <v>0</v>
      </c>
      <c r="Q192" s="18"/>
      <c r="R192" s="18"/>
      <c r="S192" s="18">
        <f t="shared" si="53"/>
        <v>0</v>
      </c>
      <c r="T192" s="18">
        <f t="shared" si="54"/>
        <v>0</v>
      </c>
      <c r="U192" s="18"/>
      <c r="V192" s="18"/>
      <c r="W192" s="18">
        <f t="shared" si="55"/>
        <v>0</v>
      </c>
      <c r="X192" s="18">
        <f t="shared" si="56"/>
        <v>0</v>
      </c>
      <c r="Y192" s="18"/>
      <c r="Z192" s="18"/>
      <c r="AA192" s="18">
        <f t="shared" si="57"/>
        <v>0</v>
      </c>
      <c r="AB192" s="18">
        <f t="shared" si="58"/>
        <v>0</v>
      </c>
      <c r="AC192" s="18"/>
      <c r="AD192" s="18"/>
      <c r="AE192" s="18">
        <f t="shared" si="59"/>
        <v>0</v>
      </c>
      <c r="AF192" s="18">
        <f t="shared" si="60"/>
        <v>0</v>
      </c>
      <c r="AG192" s="18"/>
      <c r="AH192" s="18"/>
      <c r="AI192" s="18">
        <f t="shared" si="43"/>
        <v>0</v>
      </c>
      <c r="AJ192" s="18">
        <f t="shared" si="44"/>
        <v>0</v>
      </c>
      <c r="AK192" s="18"/>
      <c r="AL192" s="18"/>
      <c r="AM192" s="18">
        <f t="shared" si="45"/>
        <v>0</v>
      </c>
      <c r="AN192" s="18">
        <f t="shared" si="46"/>
        <v>0</v>
      </c>
      <c r="AP192">
        <f t="shared" si="61"/>
        <v>0</v>
      </c>
      <c r="AQ192">
        <f t="shared" si="62"/>
        <v>0</v>
      </c>
      <c r="AR192">
        <f t="shared" si="63"/>
        <v>0</v>
      </c>
    </row>
    <row r="193" spans="1:44" x14ac:dyDescent="0.3">
      <c r="A193" s="2" t="s">
        <v>390</v>
      </c>
      <c r="B193" s="2" t="s">
        <v>391</v>
      </c>
      <c r="C193">
        <v>5.7399999999999997E-4</v>
      </c>
      <c r="D193">
        <v>5.7367470519494306E-4</v>
      </c>
      <c r="E193" s="18"/>
      <c r="F193" s="18"/>
      <c r="G193" s="18">
        <f t="shared" si="47"/>
        <v>0</v>
      </c>
      <c r="H193" s="18">
        <f t="shared" si="48"/>
        <v>0</v>
      </c>
      <c r="I193" s="18"/>
      <c r="J193" s="18"/>
      <c r="K193" s="18">
        <f t="shared" si="49"/>
        <v>0</v>
      </c>
      <c r="L193" s="18">
        <f t="shared" si="50"/>
        <v>0</v>
      </c>
      <c r="M193" s="18"/>
      <c r="N193" s="18"/>
      <c r="O193" s="18">
        <f t="shared" si="51"/>
        <v>0</v>
      </c>
      <c r="P193" s="18">
        <f t="shared" si="52"/>
        <v>0</v>
      </c>
      <c r="Q193" s="18"/>
      <c r="R193" s="18"/>
      <c r="S193" s="18">
        <f t="shared" si="53"/>
        <v>0</v>
      </c>
      <c r="T193" s="18">
        <f t="shared" si="54"/>
        <v>0</v>
      </c>
      <c r="U193" s="18"/>
      <c r="V193" s="18"/>
      <c r="W193" s="18">
        <f t="shared" si="55"/>
        <v>0</v>
      </c>
      <c r="X193" s="18">
        <f t="shared" si="56"/>
        <v>0</v>
      </c>
      <c r="Y193" s="18"/>
      <c r="Z193" s="18"/>
      <c r="AA193" s="18">
        <f t="shared" si="57"/>
        <v>0</v>
      </c>
      <c r="AB193" s="18">
        <f t="shared" si="58"/>
        <v>0</v>
      </c>
      <c r="AC193" s="18"/>
      <c r="AD193" s="18"/>
      <c r="AE193" s="18">
        <f t="shared" si="59"/>
        <v>0</v>
      </c>
      <c r="AF193" s="18">
        <f t="shared" si="60"/>
        <v>0</v>
      </c>
      <c r="AG193" s="18"/>
      <c r="AH193" s="18"/>
      <c r="AI193" s="18">
        <f t="shared" si="43"/>
        <v>0</v>
      </c>
      <c r="AJ193" s="18">
        <f t="shared" si="44"/>
        <v>0</v>
      </c>
      <c r="AK193" s="18"/>
      <c r="AL193" s="18"/>
      <c r="AM193" s="18">
        <f t="shared" si="45"/>
        <v>0</v>
      </c>
      <c r="AN193" s="18">
        <f t="shared" si="46"/>
        <v>0</v>
      </c>
      <c r="AP193">
        <f t="shared" si="61"/>
        <v>0</v>
      </c>
      <c r="AQ193">
        <f t="shared" si="62"/>
        <v>0</v>
      </c>
      <c r="AR193">
        <f t="shared" si="63"/>
        <v>0</v>
      </c>
    </row>
    <row r="194" spans="1:44" x14ac:dyDescent="0.3">
      <c r="A194" s="2" t="s">
        <v>392</v>
      </c>
      <c r="B194" s="2" t="s">
        <v>393</v>
      </c>
      <c r="C194">
        <v>1.34E-3</v>
      </c>
      <c r="D194">
        <v>1.7485677077386519E-3</v>
      </c>
      <c r="E194" s="18"/>
      <c r="F194" s="18"/>
      <c r="G194" s="18">
        <f t="shared" si="47"/>
        <v>0</v>
      </c>
      <c r="H194" s="18">
        <f t="shared" si="48"/>
        <v>0</v>
      </c>
      <c r="I194" s="18"/>
      <c r="J194" s="18"/>
      <c r="K194" s="18">
        <f t="shared" si="49"/>
        <v>0</v>
      </c>
      <c r="L194" s="18">
        <f t="shared" si="50"/>
        <v>0</v>
      </c>
      <c r="M194" s="18"/>
      <c r="N194" s="18"/>
      <c r="O194" s="18">
        <f t="shared" si="51"/>
        <v>0</v>
      </c>
      <c r="P194" s="18">
        <f t="shared" si="52"/>
        <v>0</v>
      </c>
      <c r="Q194" s="18"/>
      <c r="R194" s="18"/>
      <c r="S194" s="18">
        <f t="shared" si="53"/>
        <v>0</v>
      </c>
      <c r="T194" s="18">
        <f t="shared" si="54"/>
        <v>0</v>
      </c>
      <c r="U194" s="18"/>
      <c r="V194" s="18"/>
      <c r="W194" s="18">
        <f t="shared" si="55"/>
        <v>0</v>
      </c>
      <c r="X194" s="18">
        <f t="shared" si="56"/>
        <v>0</v>
      </c>
      <c r="Y194" s="18"/>
      <c r="Z194" s="18"/>
      <c r="AA194" s="18">
        <f t="shared" si="57"/>
        <v>0</v>
      </c>
      <c r="AB194" s="18">
        <f t="shared" si="58"/>
        <v>0</v>
      </c>
      <c r="AC194" s="18"/>
      <c r="AD194" s="18"/>
      <c r="AE194" s="18">
        <f t="shared" si="59"/>
        <v>0</v>
      </c>
      <c r="AF194" s="18">
        <f t="shared" si="60"/>
        <v>0</v>
      </c>
      <c r="AG194" s="18"/>
      <c r="AH194" s="18"/>
      <c r="AI194" s="18">
        <f t="shared" si="43"/>
        <v>0</v>
      </c>
      <c r="AJ194" s="18">
        <f t="shared" si="44"/>
        <v>0</v>
      </c>
      <c r="AK194" s="18"/>
      <c r="AL194" s="18"/>
      <c r="AM194" s="18">
        <f t="shared" si="45"/>
        <v>0</v>
      </c>
      <c r="AN194" s="18">
        <f t="shared" si="46"/>
        <v>0</v>
      </c>
      <c r="AP194">
        <f t="shared" si="61"/>
        <v>0</v>
      </c>
      <c r="AQ194">
        <f t="shared" si="62"/>
        <v>0</v>
      </c>
      <c r="AR194">
        <f t="shared" si="63"/>
        <v>0</v>
      </c>
    </row>
    <row r="195" spans="1:44" x14ac:dyDescent="0.3">
      <c r="A195" s="2" t="s">
        <v>394</v>
      </c>
      <c r="B195" s="2" t="s">
        <v>395</v>
      </c>
      <c r="C195">
        <v>4.8999999999999998E-4</v>
      </c>
      <c r="D195">
        <v>4.9232337427794742E-4</v>
      </c>
      <c r="E195" s="18"/>
      <c r="F195" s="18"/>
      <c r="G195" s="18">
        <f t="shared" si="47"/>
        <v>0</v>
      </c>
      <c r="H195" s="18">
        <f t="shared" si="48"/>
        <v>0</v>
      </c>
      <c r="I195" s="18"/>
      <c r="J195" s="18"/>
      <c r="K195" s="18">
        <f t="shared" si="49"/>
        <v>0</v>
      </c>
      <c r="L195" s="18">
        <f t="shared" si="50"/>
        <v>0</v>
      </c>
      <c r="M195" s="18"/>
      <c r="N195" s="18"/>
      <c r="O195" s="18">
        <f t="shared" si="51"/>
        <v>0</v>
      </c>
      <c r="P195" s="18">
        <f t="shared" si="52"/>
        <v>0</v>
      </c>
      <c r="Q195" s="18"/>
      <c r="R195" s="18"/>
      <c r="S195" s="18">
        <f t="shared" si="53"/>
        <v>0</v>
      </c>
      <c r="T195" s="18">
        <f t="shared" si="54"/>
        <v>0</v>
      </c>
      <c r="U195" s="18"/>
      <c r="V195" s="18"/>
      <c r="W195" s="18">
        <f t="shared" si="55"/>
        <v>0</v>
      </c>
      <c r="X195" s="18">
        <f t="shared" si="56"/>
        <v>0</v>
      </c>
      <c r="Y195" s="18"/>
      <c r="Z195" s="18"/>
      <c r="AA195" s="18">
        <f t="shared" si="57"/>
        <v>0</v>
      </c>
      <c r="AB195" s="18">
        <f t="shared" si="58"/>
        <v>0</v>
      </c>
      <c r="AC195" s="18"/>
      <c r="AD195" s="18"/>
      <c r="AE195" s="18">
        <f t="shared" si="59"/>
        <v>0</v>
      </c>
      <c r="AF195" s="18">
        <f t="shared" si="60"/>
        <v>0</v>
      </c>
      <c r="AG195" s="18"/>
      <c r="AH195" s="18"/>
      <c r="AI195" s="18">
        <f t="shared" si="43"/>
        <v>0</v>
      </c>
      <c r="AJ195" s="18">
        <f t="shared" si="44"/>
        <v>0</v>
      </c>
      <c r="AK195" s="18"/>
      <c r="AL195" s="18"/>
      <c r="AM195" s="18">
        <f t="shared" si="45"/>
        <v>0</v>
      </c>
      <c r="AN195" s="18">
        <f t="shared" si="46"/>
        <v>0</v>
      </c>
      <c r="AP195">
        <f t="shared" si="61"/>
        <v>0</v>
      </c>
      <c r="AQ195">
        <f t="shared" si="62"/>
        <v>0</v>
      </c>
      <c r="AR195">
        <f t="shared" si="63"/>
        <v>0</v>
      </c>
    </row>
    <row r="196" spans="1:44" x14ac:dyDescent="0.3">
      <c r="A196" s="2" t="s">
        <v>396</v>
      </c>
      <c r="B196" s="2" t="s">
        <v>397</v>
      </c>
      <c r="C196">
        <v>2.0753000000000001E-2</v>
      </c>
      <c r="D196">
        <v>1.6524538107775179E-2</v>
      </c>
      <c r="E196" s="18"/>
      <c r="F196" s="18"/>
      <c r="G196" s="18">
        <f t="shared" ref="G196:G227" si="64">+E196*$F$3</f>
        <v>0</v>
      </c>
      <c r="H196" s="18">
        <f t="shared" si="48"/>
        <v>0</v>
      </c>
      <c r="I196" s="18"/>
      <c r="J196" s="18"/>
      <c r="K196" s="18">
        <f t="shared" ref="K196:K227" si="65">I196*$J$3</f>
        <v>0</v>
      </c>
      <c r="L196" s="18">
        <f t="shared" si="50"/>
        <v>0</v>
      </c>
      <c r="M196" s="18"/>
      <c r="N196" s="18"/>
      <c r="O196" s="18">
        <f t="shared" ref="O196:O227" si="66">+M196*$N$3</f>
        <v>0</v>
      </c>
      <c r="P196" s="18">
        <f t="shared" si="52"/>
        <v>0</v>
      </c>
      <c r="Q196" s="18"/>
      <c r="R196" s="18"/>
      <c r="S196" s="18">
        <f t="shared" si="53"/>
        <v>0</v>
      </c>
      <c r="T196" s="18">
        <f t="shared" si="54"/>
        <v>0</v>
      </c>
      <c r="U196" s="18"/>
      <c r="V196" s="18"/>
      <c r="W196" s="18">
        <f t="shared" si="55"/>
        <v>0</v>
      </c>
      <c r="X196" s="18">
        <f t="shared" si="56"/>
        <v>0</v>
      </c>
      <c r="Y196" s="18"/>
      <c r="Z196" s="18"/>
      <c r="AA196" s="18">
        <f t="shared" si="57"/>
        <v>0</v>
      </c>
      <c r="AB196" s="18">
        <f t="shared" si="58"/>
        <v>0</v>
      </c>
      <c r="AC196" s="18"/>
      <c r="AD196" s="18"/>
      <c r="AE196" s="18">
        <f t="shared" si="59"/>
        <v>0</v>
      </c>
      <c r="AF196" s="18">
        <f t="shared" si="60"/>
        <v>0</v>
      </c>
      <c r="AG196" s="18"/>
      <c r="AH196" s="18"/>
      <c r="AI196" s="18">
        <f t="shared" ref="AI196:AI227" si="67">+AG196*$AH$3</f>
        <v>0</v>
      </c>
      <c r="AJ196" s="18">
        <f t="shared" ref="AJ196:AJ227" si="68">+AG196/D196</f>
        <v>0</v>
      </c>
      <c r="AK196" s="18"/>
      <c r="AL196" s="18"/>
      <c r="AM196" s="18">
        <f t="shared" ref="AM196:AM227" si="69">+AK196*$AL$3</f>
        <v>0</v>
      </c>
      <c r="AN196" s="18">
        <f t="shared" ref="AN196:AN227" si="70">+AK196/D196</f>
        <v>0</v>
      </c>
      <c r="AP196">
        <f t="shared" ref="AP196:AP227" si="71">SUM(G196,K196)</f>
        <v>0</v>
      </c>
      <c r="AQ196">
        <f t="shared" ref="AQ196:AQ227" si="72">AVERAGE(G196,K196)</f>
        <v>0</v>
      </c>
      <c r="AR196">
        <f t="shared" ref="AR196:AR227" si="73">MEDIAN(G196,K196)</f>
        <v>0</v>
      </c>
    </row>
    <row r="197" spans="1:44" x14ac:dyDescent="0.3">
      <c r="A197" s="2" t="s">
        <v>398</v>
      </c>
      <c r="B197" s="2" t="s">
        <v>399</v>
      </c>
      <c r="C197">
        <v>6.1659999999999996E-3</v>
      </c>
      <c r="D197">
        <v>1.3229965295935509E-2</v>
      </c>
      <c r="E197" s="18"/>
      <c r="F197" s="18"/>
      <c r="G197" s="18">
        <f t="shared" si="64"/>
        <v>0</v>
      </c>
      <c r="H197" s="18">
        <f t="shared" ref="H197:H227" si="74">+E197/D197</f>
        <v>0</v>
      </c>
      <c r="I197" s="18"/>
      <c r="J197" s="18"/>
      <c r="K197" s="18">
        <f t="shared" si="65"/>
        <v>0</v>
      </c>
      <c r="L197" s="18">
        <f t="shared" ref="L197:L227" si="75">+I197/D197</f>
        <v>0</v>
      </c>
      <c r="M197" s="18"/>
      <c r="N197" s="18"/>
      <c r="O197" s="18">
        <f t="shared" si="66"/>
        <v>0</v>
      </c>
      <c r="P197" s="18">
        <f t="shared" ref="P197:P227" si="76">+M197/D197</f>
        <v>0</v>
      </c>
      <c r="Q197" s="18"/>
      <c r="R197" s="18"/>
      <c r="S197" s="18">
        <f t="shared" ref="S197:S227" si="77">+Q197*$R$3</f>
        <v>0</v>
      </c>
      <c r="T197" s="18">
        <f t="shared" ref="T197:T227" si="78">+Q197/D197</f>
        <v>0</v>
      </c>
      <c r="U197" s="18"/>
      <c r="V197" s="18"/>
      <c r="W197" s="18">
        <f t="shared" ref="W197:W227" si="79">+U197*$V$3</f>
        <v>0</v>
      </c>
      <c r="X197" s="18">
        <f t="shared" ref="X197:X227" si="80">+U197/D197</f>
        <v>0</v>
      </c>
      <c r="Y197" s="18"/>
      <c r="Z197" s="18"/>
      <c r="AA197" s="18">
        <f t="shared" ref="AA197:AA227" si="81">+Y197*$Z$3</f>
        <v>0</v>
      </c>
      <c r="AB197" s="18">
        <f t="shared" ref="AB197:AB227" si="82">+Y197/D197</f>
        <v>0</v>
      </c>
      <c r="AC197" s="18"/>
      <c r="AD197" s="18"/>
      <c r="AE197" s="18">
        <f t="shared" ref="AE197:AE227" si="83">+AC197*$AD$3</f>
        <v>0</v>
      </c>
      <c r="AF197" s="18">
        <f t="shared" ref="AF197:AF227" si="84">+AC197/D197</f>
        <v>0</v>
      </c>
      <c r="AG197" s="18"/>
      <c r="AH197" s="18"/>
      <c r="AI197" s="18">
        <f t="shared" si="67"/>
        <v>0</v>
      </c>
      <c r="AJ197" s="18">
        <f t="shared" si="68"/>
        <v>0</v>
      </c>
      <c r="AK197" s="18"/>
      <c r="AL197" s="18"/>
      <c r="AM197" s="18">
        <f t="shared" si="69"/>
        <v>0</v>
      </c>
      <c r="AN197" s="18">
        <f t="shared" si="70"/>
        <v>0</v>
      </c>
      <c r="AP197">
        <f t="shared" si="71"/>
        <v>0</v>
      </c>
      <c r="AQ197">
        <f t="shared" si="72"/>
        <v>0</v>
      </c>
      <c r="AR197">
        <f t="shared" si="73"/>
        <v>0</v>
      </c>
    </row>
    <row r="198" spans="1:44" x14ac:dyDescent="0.3">
      <c r="A198" s="2" t="s">
        <v>400</v>
      </c>
      <c r="B198" s="2" t="s">
        <v>401</v>
      </c>
      <c r="C198">
        <v>1.0399999999999999E-4</v>
      </c>
      <c r="D198">
        <v>1.2733625214551636E-4</v>
      </c>
      <c r="E198" s="18"/>
      <c r="F198" s="18"/>
      <c r="G198" s="18">
        <f t="shared" si="64"/>
        <v>0</v>
      </c>
      <c r="H198" s="18">
        <f t="shared" si="74"/>
        <v>0</v>
      </c>
      <c r="I198" s="18"/>
      <c r="J198" s="18"/>
      <c r="K198" s="18">
        <f t="shared" si="65"/>
        <v>0</v>
      </c>
      <c r="L198" s="18">
        <f t="shared" si="75"/>
        <v>0</v>
      </c>
      <c r="M198" s="18"/>
      <c r="N198" s="18"/>
      <c r="O198" s="18">
        <f t="shared" si="66"/>
        <v>0</v>
      </c>
      <c r="P198" s="18">
        <f t="shared" si="76"/>
        <v>0</v>
      </c>
      <c r="Q198" s="18"/>
      <c r="R198" s="18"/>
      <c r="S198" s="18">
        <f t="shared" si="77"/>
        <v>0</v>
      </c>
      <c r="T198" s="18">
        <f t="shared" si="78"/>
        <v>0</v>
      </c>
      <c r="U198" s="18"/>
      <c r="V198" s="18"/>
      <c r="W198" s="18">
        <f t="shared" si="79"/>
        <v>0</v>
      </c>
      <c r="X198" s="18">
        <f t="shared" si="80"/>
        <v>0</v>
      </c>
      <c r="Y198" s="18"/>
      <c r="Z198" s="18"/>
      <c r="AA198" s="18">
        <f t="shared" si="81"/>
        <v>0</v>
      </c>
      <c r="AB198" s="18">
        <f t="shared" si="82"/>
        <v>0</v>
      </c>
      <c r="AC198" s="18"/>
      <c r="AD198" s="18"/>
      <c r="AE198" s="18">
        <f t="shared" si="83"/>
        <v>0</v>
      </c>
      <c r="AF198" s="18">
        <f t="shared" si="84"/>
        <v>0</v>
      </c>
      <c r="AG198" s="18"/>
      <c r="AH198" s="18"/>
      <c r="AI198" s="18">
        <f t="shared" si="67"/>
        <v>0</v>
      </c>
      <c r="AJ198" s="18">
        <f t="shared" si="68"/>
        <v>0</v>
      </c>
      <c r="AK198" s="18"/>
      <c r="AL198" s="18"/>
      <c r="AM198" s="18">
        <f t="shared" si="69"/>
        <v>0</v>
      </c>
      <c r="AN198" s="18">
        <f t="shared" si="70"/>
        <v>0</v>
      </c>
      <c r="AP198">
        <f t="shared" si="71"/>
        <v>0</v>
      </c>
      <c r="AQ198">
        <f t="shared" si="72"/>
        <v>0</v>
      </c>
      <c r="AR198">
        <f t="shared" si="73"/>
        <v>0</v>
      </c>
    </row>
    <row r="199" spans="1:44" x14ac:dyDescent="0.3">
      <c r="A199" s="2" t="s">
        <v>402</v>
      </c>
      <c r="B199" s="2" t="s">
        <v>403</v>
      </c>
      <c r="C199">
        <v>1.3028E-2</v>
      </c>
      <c r="D199">
        <v>3.206626871385386E-2</v>
      </c>
      <c r="E199" s="18"/>
      <c r="F199" s="18"/>
      <c r="G199" s="18">
        <f t="shared" si="64"/>
        <v>0</v>
      </c>
      <c r="H199" s="18">
        <f t="shared" si="74"/>
        <v>0</v>
      </c>
      <c r="I199" s="18"/>
      <c r="J199" s="18"/>
      <c r="K199" s="18">
        <f t="shared" si="65"/>
        <v>0</v>
      </c>
      <c r="L199" s="18">
        <f t="shared" si="75"/>
        <v>0</v>
      </c>
      <c r="M199" s="18"/>
      <c r="N199" s="18"/>
      <c r="O199" s="18">
        <f t="shared" si="66"/>
        <v>0</v>
      </c>
      <c r="P199" s="18">
        <f t="shared" si="76"/>
        <v>0</v>
      </c>
      <c r="Q199" s="18"/>
      <c r="R199" s="18"/>
      <c r="S199" s="18">
        <f t="shared" si="77"/>
        <v>0</v>
      </c>
      <c r="T199" s="18">
        <f t="shared" si="78"/>
        <v>0</v>
      </c>
      <c r="U199" s="18"/>
      <c r="V199" s="18"/>
      <c r="W199" s="18">
        <f t="shared" si="79"/>
        <v>0</v>
      </c>
      <c r="X199" s="18">
        <f t="shared" si="80"/>
        <v>0</v>
      </c>
      <c r="Y199" s="18"/>
      <c r="Z199" s="18"/>
      <c r="AA199" s="18">
        <f t="shared" si="81"/>
        <v>0</v>
      </c>
      <c r="AB199" s="18">
        <f t="shared" si="82"/>
        <v>0</v>
      </c>
      <c r="AC199" s="18"/>
      <c r="AD199" s="18"/>
      <c r="AE199" s="18">
        <f t="shared" si="83"/>
        <v>0</v>
      </c>
      <c r="AF199" s="18">
        <f t="shared" si="84"/>
        <v>0</v>
      </c>
      <c r="AG199" s="18"/>
      <c r="AH199" s="18"/>
      <c r="AI199" s="18">
        <f t="shared" si="67"/>
        <v>0</v>
      </c>
      <c r="AJ199" s="18">
        <f t="shared" si="68"/>
        <v>0</v>
      </c>
      <c r="AK199" s="18"/>
      <c r="AL199" s="18"/>
      <c r="AM199" s="18">
        <f t="shared" si="69"/>
        <v>0</v>
      </c>
      <c r="AN199" s="18">
        <f t="shared" si="70"/>
        <v>0</v>
      </c>
      <c r="AP199">
        <f t="shared" si="71"/>
        <v>0</v>
      </c>
      <c r="AQ199">
        <f t="shared" si="72"/>
        <v>0</v>
      </c>
      <c r="AR199">
        <f t="shared" si="73"/>
        <v>0</v>
      </c>
    </row>
    <row r="200" spans="1:44" x14ac:dyDescent="0.3">
      <c r="A200" s="2" t="s">
        <v>404</v>
      </c>
      <c r="B200" s="2" t="s">
        <v>405</v>
      </c>
      <c r="C200">
        <v>2.63E-4</v>
      </c>
      <c r="D200">
        <v>2.5869126484120324E-4</v>
      </c>
      <c r="E200" s="18"/>
      <c r="F200" s="18"/>
      <c r="G200" s="18">
        <f t="shared" si="64"/>
        <v>0</v>
      </c>
      <c r="H200" s="18">
        <f t="shared" si="74"/>
        <v>0</v>
      </c>
      <c r="I200" s="18"/>
      <c r="J200" s="18"/>
      <c r="K200" s="18">
        <f t="shared" si="65"/>
        <v>0</v>
      </c>
      <c r="L200" s="18">
        <f t="shared" si="75"/>
        <v>0</v>
      </c>
      <c r="M200" s="18"/>
      <c r="N200" s="18"/>
      <c r="O200" s="18">
        <f t="shared" si="66"/>
        <v>0</v>
      </c>
      <c r="P200" s="18">
        <f t="shared" si="76"/>
        <v>0</v>
      </c>
      <c r="Q200" s="18"/>
      <c r="R200" s="18"/>
      <c r="S200" s="18">
        <f t="shared" si="77"/>
        <v>0</v>
      </c>
      <c r="T200" s="18">
        <f t="shared" si="78"/>
        <v>0</v>
      </c>
      <c r="U200" s="18"/>
      <c r="V200" s="18"/>
      <c r="W200" s="18">
        <f t="shared" si="79"/>
        <v>0</v>
      </c>
      <c r="X200" s="18">
        <f t="shared" si="80"/>
        <v>0</v>
      </c>
      <c r="Y200" s="18"/>
      <c r="Z200" s="18"/>
      <c r="AA200" s="18">
        <f t="shared" si="81"/>
        <v>0</v>
      </c>
      <c r="AB200" s="18">
        <f t="shared" si="82"/>
        <v>0</v>
      </c>
      <c r="AC200" s="18"/>
      <c r="AD200" s="18"/>
      <c r="AE200" s="18">
        <f t="shared" si="83"/>
        <v>0</v>
      </c>
      <c r="AF200" s="18">
        <f t="shared" si="84"/>
        <v>0</v>
      </c>
      <c r="AG200" s="18"/>
      <c r="AH200" s="18"/>
      <c r="AI200" s="18">
        <f t="shared" si="67"/>
        <v>0</v>
      </c>
      <c r="AJ200" s="18">
        <f t="shared" si="68"/>
        <v>0</v>
      </c>
      <c r="AK200" s="18"/>
      <c r="AL200" s="18"/>
      <c r="AM200" s="18">
        <f t="shared" si="69"/>
        <v>0</v>
      </c>
      <c r="AN200" s="18">
        <f t="shared" si="70"/>
        <v>0</v>
      </c>
      <c r="AP200">
        <f t="shared" si="71"/>
        <v>0</v>
      </c>
      <c r="AQ200">
        <f t="shared" si="72"/>
        <v>0</v>
      </c>
      <c r="AR200">
        <f t="shared" si="73"/>
        <v>0</v>
      </c>
    </row>
    <row r="201" spans="1:44" x14ac:dyDescent="0.3">
      <c r="A201" s="2" t="s">
        <v>406</v>
      </c>
      <c r="B201" s="2" t="s">
        <v>407</v>
      </c>
      <c r="C201">
        <v>1.8717000000000001E-2</v>
      </c>
      <c r="D201">
        <v>2.5637562110600032E-2</v>
      </c>
      <c r="E201" s="18">
        <v>8.033671562549119E-2</v>
      </c>
      <c r="F201" s="18"/>
      <c r="G201" s="18">
        <f t="shared" si="64"/>
        <v>4.8202029375294712E-2</v>
      </c>
      <c r="H201" s="18">
        <f t="shared" si="74"/>
        <v>3.1335551827790757</v>
      </c>
      <c r="I201" s="18"/>
      <c r="J201" s="18"/>
      <c r="K201" s="18">
        <f t="shared" si="65"/>
        <v>0</v>
      </c>
      <c r="L201" s="18">
        <f t="shared" si="75"/>
        <v>0</v>
      </c>
      <c r="M201" s="18">
        <v>7.8877296811348547E-3</v>
      </c>
      <c r="N201" s="18"/>
      <c r="O201" s="18">
        <f t="shared" si="66"/>
        <v>1.9719324202837137E-3</v>
      </c>
      <c r="P201" s="18">
        <f t="shared" si="76"/>
        <v>0.3076630159727089</v>
      </c>
      <c r="Q201" s="18"/>
      <c r="R201" s="18"/>
      <c r="S201" s="18">
        <f t="shared" si="77"/>
        <v>0</v>
      </c>
      <c r="T201" s="18">
        <f t="shared" si="78"/>
        <v>0</v>
      </c>
      <c r="U201" s="18"/>
      <c r="V201" s="18"/>
      <c r="W201" s="18">
        <f t="shared" si="79"/>
        <v>0</v>
      </c>
      <c r="X201" s="18">
        <f t="shared" si="80"/>
        <v>0</v>
      </c>
      <c r="Y201" s="18"/>
      <c r="Z201" s="18"/>
      <c r="AA201" s="18">
        <f t="shared" si="81"/>
        <v>0</v>
      </c>
      <c r="AB201" s="18">
        <f t="shared" si="82"/>
        <v>0</v>
      </c>
      <c r="AC201" s="18"/>
      <c r="AD201" s="18"/>
      <c r="AE201" s="18">
        <f t="shared" si="83"/>
        <v>0</v>
      </c>
      <c r="AF201" s="18">
        <f t="shared" si="84"/>
        <v>0</v>
      </c>
      <c r="AG201" s="18"/>
      <c r="AH201" s="18"/>
      <c r="AI201" s="18">
        <f t="shared" si="67"/>
        <v>0</v>
      </c>
      <c r="AJ201" s="18">
        <f t="shared" si="68"/>
        <v>0</v>
      </c>
      <c r="AK201" s="18"/>
      <c r="AL201" s="18"/>
      <c r="AM201" s="18">
        <f t="shared" si="69"/>
        <v>0</v>
      </c>
      <c r="AN201" s="18">
        <f t="shared" si="70"/>
        <v>0</v>
      </c>
      <c r="AP201">
        <f t="shared" si="71"/>
        <v>4.8202029375294712E-2</v>
      </c>
      <c r="AQ201">
        <f t="shared" si="72"/>
        <v>2.4101014687647356E-2</v>
      </c>
      <c r="AR201">
        <f t="shared" si="73"/>
        <v>2.4101014687647356E-2</v>
      </c>
    </row>
    <row r="202" spans="1:44" x14ac:dyDescent="0.3">
      <c r="A202" s="2" t="s">
        <v>408</v>
      </c>
      <c r="B202" s="2" t="s">
        <v>409</v>
      </c>
      <c r="C202">
        <v>1.683E-3</v>
      </c>
      <c r="D202">
        <v>2.008672355829457E-3</v>
      </c>
      <c r="E202" s="18"/>
      <c r="F202" s="18"/>
      <c r="G202" s="18">
        <f t="shared" si="64"/>
        <v>0</v>
      </c>
      <c r="H202" s="18">
        <f t="shared" si="74"/>
        <v>0</v>
      </c>
      <c r="I202" s="18"/>
      <c r="J202" s="18"/>
      <c r="K202" s="18">
        <f t="shared" si="65"/>
        <v>0</v>
      </c>
      <c r="L202" s="18">
        <f t="shared" si="75"/>
        <v>0</v>
      </c>
      <c r="M202" s="18"/>
      <c r="N202" s="18"/>
      <c r="O202" s="18">
        <f t="shared" si="66"/>
        <v>0</v>
      </c>
      <c r="P202" s="18">
        <f t="shared" si="76"/>
        <v>0</v>
      </c>
      <c r="Q202" s="18"/>
      <c r="R202" s="18"/>
      <c r="S202" s="18">
        <f t="shared" si="77"/>
        <v>0</v>
      </c>
      <c r="T202" s="18">
        <f t="shared" si="78"/>
        <v>0</v>
      </c>
      <c r="U202" s="18"/>
      <c r="V202" s="18"/>
      <c r="W202" s="18">
        <f t="shared" si="79"/>
        <v>0</v>
      </c>
      <c r="X202" s="18">
        <f t="shared" si="80"/>
        <v>0</v>
      </c>
      <c r="Y202" s="18"/>
      <c r="Z202" s="18"/>
      <c r="AA202" s="18">
        <f t="shared" si="81"/>
        <v>0</v>
      </c>
      <c r="AB202" s="18">
        <f t="shared" si="82"/>
        <v>0</v>
      </c>
      <c r="AC202" s="18"/>
      <c r="AD202" s="18"/>
      <c r="AE202" s="18">
        <f t="shared" si="83"/>
        <v>0</v>
      </c>
      <c r="AF202" s="18">
        <f t="shared" si="84"/>
        <v>0</v>
      </c>
      <c r="AG202" s="18"/>
      <c r="AH202" s="18"/>
      <c r="AI202" s="18">
        <f t="shared" si="67"/>
        <v>0</v>
      </c>
      <c r="AJ202" s="18">
        <f t="shared" si="68"/>
        <v>0</v>
      </c>
      <c r="AK202" s="18"/>
      <c r="AL202" s="18"/>
      <c r="AM202" s="18">
        <f t="shared" si="69"/>
        <v>0</v>
      </c>
      <c r="AN202" s="18">
        <f t="shared" si="70"/>
        <v>0</v>
      </c>
      <c r="AP202">
        <f t="shared" si="71"/>
        <v>0</v>
      </c>
      <c r="AQ202">
        <f t="shared" si="72"/>
        <v>0</v>
      </c>
      <c r="AR202">
        <f t="shared" si="73"/>
        <v>0</v>
      </c>
    </row>
    <row r="203" spans="1:44" x14ac:dyDescent="0.3">
      <c r="A203" s="2" t="s">
        <v>410</v>
      </c>
      <c r="B203" s="2" t="s">
        <v>411</v>
      </c>
      <c r="C203">
        <v>1.2780000000000001E-3</v>
      </c>
      <c r="D203">
        <v>4.4462442459153231E-3</v>
      </c>
      <c r="E203" s="18"/>
      <c r="F203" s="18"/>
      <c r="G203" s="18">
        <f t="shared" si="64"/>
        <v>0</v>
      </c>
      <c r="H203" s="18">
        <f t="shared" si="74"/>
        <v>0</v>
      </c>
      <c r="I203" s="18"/>
      <c r="J203" s="18"/>
      <c r="K203" s="18">
        <f t="shared" si="65"/>
        <v>0</v>
      </c>
      <c r="L203" s="18">
        <f t="shared" si="75"/>
        <v>0</v>
      </c>
      <c r="M203" s="18"/>
      <c r="N203" s="18"/>
      <c r="O203" s="18">
        <f t="shared" si="66"/>
        <v>0</v>
      </c>
      <c r="P203" s="18">
        <f t="shared" si="76"/>
        <v>0</v>
      </c>
      <c r="Q203" s="18"/>
      <c r="R203" s="18"/>
      <c r="S203" s="18">
        <f t="shared" si="77"/>
        <v>0</v>
      </c>
      <c r="T203" s="18">
        <f t="shared" si="78"/>
        <v>0</v>
      </c>
      <c r="U203" s="18"/>
      <c r="V203" s="18"/>
      <c r="W203" s="18">
        <f t="shared" si="79"/>
        <v>0</v>
      </c>
      <c r="X203" s="18">
        <f t="shared" si="80"/>
        <v>0</v>
      </c>
      <c r="Y203" s="18"/>
      <c r="Z203" s="18"/>
      <c r="AA203" s="18">
        <f t="shared" si="81"/>
        <v>0</v>
      </c>
      <c r="AB203" s="18">
        <f t="shared" si="82"/>
        <v>0</v>
      </c>
      <c r="AC203" s="18"/>
      <c r="AD203" s="18"/>
      <c r="AE203" s="18">
        <f t="shared" si="83"/>
        <v>0</v>
      </c>
      <c r="AF203" s="18">
        <f t="shared" si="84"/>
        <v>0</v>
      </c>
      <c r="AG203" s="18"/>
      <c r="AH203" s="18"/>
      <c r="AI203" s="18">
        <f t="shared" si="67"/>
        <v>0</v>
      </c>
      <c r="AJ203" s="18">
        <f t="shared" si="68"/>
        <v>0</v>
      </c>
      <c r="AK203" s="18"/>
      <c r="AL203" s="18"/>
      <c r="AM203" s="18">
        <f t="shared" si="69"/>
        <v>0</v>
      </c>
      <c r="AN203" s="18">
        <f t="shared" si="70"/>
        <v>0</v>
      </c>
      <c r="AP203">
        <f t="shared" si="71"/>
        <v>0</v>
      </c>
      <c r="AQ203">
        <f t="shared" si="72"/>
        <v>0</v>
      </c>
      <c r="AR203">
        <f t="shared" si="73"/>
        <v>0</v>
      </c>
    </row>
    <row r="204" spans="1:44" x14ac:dyDescent="0.3">
      <c r="A204" s="2" t="s">
        <v>412</v>
      </c>
      <c r="B204" s="2" t="s">
        <v>413</v>
      </c>
      <c r="C204">
        <v>1.9740000000000001E-3</v>
      </c>
      <c r="D204">
        <v>3.2557147391344284E-3</v>
      </c>
      <c r="E204" s="18"/>
      <c r="F204" s="18"/>
      <c r="G204" s="18">
        <f t="shared" si="64"/>
        <v>0</v>
      </c>
      <c r="H204" s="18">
        <f t="shared" si="74"/>
        <v>0</v>
      </c>
      <c r="I204" s="18"/>
      <c r="J204" s="18"/>
      <c r="K204" s="18">
        <f t="shared" si="65"/>
        <v>0</v>
      </c>
      <c r="L204" s="18">
        <f t="shared" si="75"/>
        <v>0</v>
      </c>
      <c r="M204" s="18"/>
      <c r="N204" s="18"/>
      <c r="O204" s="18">
        <f t="shared" si="66"/>
        <v>0</v>
      </c>
      <c r="P204" s="18">
        <f t="shared" si="76"/>
        <v>0</v>
      </c>
      <c r="Q204" s="18"/>
      <c r="R204" s="18"/>
      <c r="S204" s="18">
        <f t="shared" si="77"/>
        <v>0</v>
      </c>
      <c r="T204" s="18">
        <f t="shared" si="78"/>
        <v>0</v>
      </c>
      <c r="U204" s="18"/>
      <c r="V204" s="18"/>
      <c r="W204" s="18">
        <f t="shared" si="79"/>
        <v>0</v>
      </c>
      <c r="X204" s="18">
        <f t="shared" si="80"/>
        <v>0</v>
      </c>
      <c r="Y204" s="18"/>
      <c r="Z204" s="18"/>
      <c r="AA204" s="18">
        <f t="shared" si="81"/>
        <v>0</v>
      </c>
      <c r="AB204" s="18">
        <f t="shared" si="82"/>
        <v>0</v>
      </c>
      <c r="AC204" s="18"/>
      <c r="AD204" s="18"/>
      <c r="AE204" s="18">
        <f t="shared" si="83"/>
        <v>0</v>
      </c>
      <c r="AF204" s="18">
        <f t="shared" si="84"/>
        <v>0</v>
      </c>
      <c r="AG204" s="18"/>
      <c r="AH204" s="18"/>
      <c r="AI204" s="18">
        <f t="shared" si="67"/>
        <v>0</v>
      </c>
      <c r="AJ204" s="18">
        <f t="shared" si="68"/>
        <v>0</v>
      </c>
      <c r="AK204" s="18"/>
      <c r="AL204" s="18"/>
      <c r="AM204" s="18">
        <f t="shared" si="69"/>
        <v>0</v>
      </c>
      <c r="AN204" s="18">
        <f t="shared" si="70"/>
        <v>0</v>
      </c>
      <c r="AP204">
        <f t="shared" si="71"/>
        <v>0</v>
      </c>
      <c r="AQ204">
        <f t="shared" si="72"/>
        <v>0</v>
      </c>
      <c r="AR204">
        <f t="shared" si="73"/>
        <v>0</v>
      </c>
    </row>
    <row r="205" spans="1:44" x14ac:dyDescent="0.3">
      <c r="A205" s="2" t="s">
        <v>414</v>
      </c>
      <c r="B205" s="2" t="s">
        <v>415</v>
      </c>
      <c r="C205">
        <v>1.402E-3</v>
      </c>
      <c r="D205">
        <v>2.009013820037956E-3</v>
      </c>
      <c r="E205" s="18"/>
      <c r="F205" s="18"/>
      <c r="G205" s="18">
        <f t="shared" si="64"/>
        <v>0</v>
      </c>
      <c r="H205" s="18">
        <f t="shared" si="74"/>
        <v>0</v>
      </c>
      <c r="I205" s="18"/>
      <c r="J205" s="18"/>
      <c r="K205" s="18">
        <f t="shared" si="65"/>
        <v>0</v>
      </c>
      <c r="L205" s="18">
        <f t="shared" si="75"/>
        <v>0</v>
      </c>
      <c r="M205" s="18"/>
      <c r="N205" s="18"/>
      <c r="O205" s="18">
        <f t="shared" si="66"/>
        <v>0</v>
      </c>
      <c r="P205" s="18">
        <f t="shared" si="76"/>
        <v>0</v>
      </c>
      <c r="Q205" s="18"/>
      <c r="R205" s="18"/>
      <c r="S205" s="18">
        <f t="shared" si="77"/>
        <v>0</v>
      </c>
      <c r="T205" s="18">
        <f t="shared" si="78"/>
        <v>0</v>
      </c>
      <c r="U205" s="18"/>
      <c r="V205" s="18"/>
      <c r="W205" s="18">
        <f t="shared" si="79"/>
        <v>0</v>
      </c>
      <c r="X205" s="18">
        <f t="shared" si="80"/>
        <v>0</v>
      </c>
      <c r="Y205" s="18"/>
      <c r="Z205" s="18"/>
      <c r="AA205" s="18">
        <f t="shared" si="81"/>
        <v>0</v>
      </c>
      <c r="AB205" s="18">
        <f t="shared" si="82"/>
        <v>0</v>
      </c>
      <c r="AC205" s="18"/>
      <c r="AD205" s="18"/>
      <c r="AE205" s="18">
        <f t="shared" si="83"/>
        <v>0</v>
      </c>
      <c r="AF205" s="18">
        <f t="shared" si="84"/>
        <v>0</v>
      </c>
      <c r="AG205" s="18"/>
      <c r="AH205" s="18"/>
      <c r="AI205" s="18">
        <f t="shared" si="67"/>
        <v>0</v>
      </c>
      <c r="AJ205" s="18">
        <f t="shared" si="68"/>
        <v>0</v>
      </c>
      <c r="AK205" s="18"/>
      <c r="AL205" s="18"/>
      <c r="AM205" s="18">
        <f t="shared" si="69"/>
        <v>0</v>
      </c>
      <c r="AN205" s="18">
        <f t="shared" si="70"/>
        <v>0</v>
      </c>
      <c r="AP205">
        <f t="shared" si="71"/>
        <v>0</v>
      </c>
      <c r="AQ205">
        <f t="shared" si="72"/>
        <v>0</v>
      </c>
      <c r="AR205">
        <f t="shared" si="73"/>
        <v>0</v>
      </c>
    </row>
    <row r="206" spans="1:44" x14ac:dyDescent="0.3">
      <c r="A206" s="2" t="s">
        <v>416</v>
      </c>
      <c r="B206" s="2" t="s">
        <v>417</v>
      </c>
      <c r="C206">
        <v>0.78705800000000004</v>
      </c>
      <c r="D206">
        <v>0.78709996327740528</v>
      </c>
      <c r="E206" s="18"/>
      <c r="F206" s="18"/>
      <c r="G206" s="18">
        <f t="shared" si="64"/>
        <v>0</v>
      </c>
      <c r="H206" s="18">
        <f t="shared" si="74"/>
        <v>0</v>
      </c>
      <c r="I206" s="18"/>
      <c r="J206" s="18"/>
      <c r="K206" s="18">
        <f t="shared" si="65"/>
        <v>0</v>
      </c>
      <c r="L206" s="18">
        <f t="shared" si="75"/>
        <v>0</v>
      </c>
      <c r="M206" s="18"/>
      <c r="N206" s="18"/>
      <c r="O206" s="18">
        <f t="shared" si="66"/>
        <v>0</v>
      </c>
      <c r="P206" s="18">
        <f t="shared" si="76"/>
        <v>0</v>
      </c>
      <c r="Q206" s="18"/>
      <c r="R206" s="18"/>
      <c r="S206" s="18">
        <f t="shared" si="77"/>
        <v>0</v>
      </c>
      <c r="T206" s="18">
        <f t="shared" si="78"/>
        <v>0</v>
      </c>
      <c r="U206" s="18"/>
      <c r="V206" s="18"/>
      <c r="W206" s="18">
        <f t="shared" si="79"/>
        <v>0</v>
      </c>
      <c r="X206" s="18">
        <f t="shared" si="80"/>
        <v>0</v>
      </c>
      <c r="Y206" s="18"/>
      <c r="Z206" s="18"/>
      <c r="AA206" s="18">
        <f t="shared" si="81"/>
        <v>0</v>
      </c>
      <c r="AB206" s="18">
        <f t="shared" si="82"/>
        <v>0</v>
      </c>
      <c r="AC206" s="18"/>
      <c r="AD206" s="18"/>
      <c r="AE206" s="18">
        <f t="shared" si="83"/>
        <v>0</v>
      </c>
      <c r="AF206" s="18">
        <f t="shared" si="84"/>
        <v>0</v>
      </c>
      <c r="AG206" s="18"/>
      <c r="AH206" s="18"/>
      <c r="AI206" s="18">
        <f t="shared" si="67"/>
        <v>0</v>
      </c>
      <c r="AJ206" s="18">
        <f t="shared" si="68"/>
        <v>0</v>
      </c>
      <c r="AK206" s="18"/>
      <c r="AL206" s="18"/>
      <c r="AM206" s="18">
        <f t="shared" si="69"/>
        <v>0</v>
      </c>
      <c r="AN206" s="18">
        <f t="shared" si="70"/>
        <v>0</v>
      </c>
      <c r="AP206">
        <f t="shared" si="71"/>
        <v>0</v>
      </c>
      <c r="AQ206">
        <f t="shared" si="72"/>
        <v>0</v>
      </c>
      <c r="AR206">
        <f t="shared" si="73"/>
        <v>0</v>
      </c>
    </row>
    <row r="207" spans="1:44" x14ac:dyDescent="0.3">
      <c r="A207" s="2" t="s">
        <v>418</v>
      </c>
      <c r="B207" s="2" t="s">
        <v>419</v>
      </c>
      <c r="C207">
        <v>2.4000000000000001E-5</v>
      </c>
      <c r="D207">
        <v>1.6276781163167069E-3</v>
      </c>
      <c r="E207" s="18"/>
      <c r="F207" s="18"/>
      <c r="G207" s="18">
        <f t="shared" si="64"/>
        <v>0</v>
      </c>
      <c r="H207" s="18">
        <f t="shared" si="74"/>
        <v>0</v>
      </c>
      <c r="I207" s="18"/>
      <c r="J207" s="18"/>
      <c r="K207" s="18">
        <f t="shared" si="65"/>
        <v>0</v>
      </c>
      <c r="L207" s="18">
        <f t="shared" si="75"/>
        <v>0</v>
      </c>
      <c r="M207" s="18"/>
      <c r="N207" s="18"/>
      <c r="O207" s="18">
        <f t="shared" si="66"/>
        <v>0</v>
      </c>
      <c r="P207" s="18">
        <f t="shared" si="76"/>
        <v>0</v>
      </c>
      <c r="Q207" s="18"/>
      <c r="R207" s="18"/>
      <c r="S207" s="18">
        <f t="shared" si="77"/>
        <v>0</v>
      </c>
      <c r="T207" s="18">
        <f t="shared" si="78"/>
        <v>0</v>
      </c>
      <c r="U207" s="18"/>
      <c r="V207" s="18"/>
      <c r="W207" s="18">
        <f t="shared" si="79"/>
        <v>0</v>
      </c>
      <c r="X207" s="18">
        <f t="shared" si="80"/>
        <v>0</v>
      </c>
      <c r="Y207" s="18"/>
      <c r="Z207" s="18"/>
      <c r="AA207" s="18">
        <f t="shared" si="81"/>
        <v>0</v>
      </c>
      <c r="AB207" s="18">
        <f t="shared" si="82"/>
        <v>0</v>
      </c>
      <c r="AC207" s="18"/>
      <c r="AD207" s="18"/>
      <c r="AE207" s="18">
        <f t="shared" si="83"/>
        <v>0</v>
      </c>
      <c r="AF207" s="18">
        <f t="shared" si="84"/>
        <v>0</v>
      </c>
      <c r="AG207" s="18"/>
      <c r="AH207" s="18"/>
      <c r="AI207" s="18">
        <f t="shared" si="67"/>
        <v>0</v>
      </c>
      <c r="AJ207" s="18">
        <f t="shared" si="68"/>
        <v>0</v>
      </c>
      <c r="AK207" s="18"/>
      <c r="AL207" s="18"/>
      <c r="AM207" s="18">
        <f t="shared" si="69"/>
        <v>0</v>
      </c>
      <c r="AN207" s="18">
        <f t="shared" si="70"/>
        <v>0</v>
      </c>
      <c r="AP207">
        <f t="shared" si="71"/>
        <v>0</v>
      </c>
      <c r="AQ207">
        <f t="shared" si="72"/>
        <v>0</v>
      </c>
      <c r="AR207">
        <f t="shared" si="73"/>
        <v>0</v>
      </c>
    </row>
    <row r="208" spans="1:44" x14ac:dyDescent="0.3">
      <c r="A208" s="2" t="s">
        <v>420</v>
      </c>
      <c r="B208" s="2" t="s">
        <v>421</v>
      </c>
      <c r="C208">
        <v>9.5477000000000006E-2</v>
      </c>
      <c r="D208">
        <v>0.67857183248323361</v>
      </c>
      <c r="E208" s="18"/>
      <c r="F208" s="18"/>
      <c r="G208" s="18">
        <f t="shared" si="64"/>
        <v>0</v>
      </c>
      <c r="H208" s="18">
        <f t="shared" si="74"/>
        <v>0</v>
      </c>
      <c r="I208" s="18"/>
      <c r="J208" s="18"/>
      <c r="K208" s="18">
        <f t="shared" si="65"/>
        <v>0</v>
      </c>
      <c r="L208" s="18">
        <f t="shared" si="75"/>
        <v>0</v>
      </c>
      <c r="M208" s="18"/>
      <c r="N208" s="18"/>
      <c r="O208" s="18">
        <f t="shared" si="66"/>
        <v>0</v>
      </c>
      <c r="P208" s="18">
        <f t="shared" si="76"/>
        <v>0</v>
      </c>
      <c r="Q208" s="18"/>
      <c r="R208" s="18"/>
      <c r="S208" s="18">
        <f t="shared" si="77"/>
        <v>0</v>
      </c>
      <c r="T208" s="18">
        <f t="shared" si="78"/>
        <v>0</v>
      </c>
      <c r="U208" s="18"/>
      <c r="V208" s="18"/>
      <c r="W208" s="18">
        <f t="shared" si="79"/>
        <v>0</v>
      </c>
      <c r="X208" s="18">
        <f t="shared" si="80"/>
        <v>0</v>
      </c>
      <c r="Y208" s="18"/>
      <c r="Z208" s="18"/>
      <c r="AA208" s="18">
        <f t="shared" si="81"/>
        <v>0</v>
      </c>
      <c r="AB208" s="18">
        <f t="shared" si="82"/>
        <v>0</v>
      </c>
      <c r="AC208" s="18"/>
      <c r="AD208" s="18"/>
      <c r="AE208" s="18">
        <f t="shared" si="83"/>
        <v>0</v>
      </c>
      <c r="AF208" s="18">
        <f t="shared" si="84"/>
        <v>0</v>
      </c>
      <c r="AG208" s="18"/>
      <c r="AH208" s="18"/>
      <c r="AI208" s="18">
        <f t="shared" si="67"/>
        <v>0</v>
      </c>
      <c r="AJ208" s="18">
        <f t="shared" si="68"/>
        <v>0</v>
      </c>
      <c r="AK208" s="18"/>
      <c r="AL208" s="18"/>
      <c r="AM208" s="18">
        <f t="shared" si="69"/>
        <v>0</v>
      </c>
      <c r="AN208" s="18">
        <f t="shared" si="70"/>
        <v>0</v>
      </c>
      <c r="AP208">
        <f t="shared" si="71"/>
        <v>0</v>
      </c>
      <c r="AQ208">
        <f t="shared" si="72"/>
        <v>0</v>
      </c>
      <c r="AR208">
        <f t="shared" si="73"/>
        <v>0</v>
      </c>
    </row>
    <row r="209" spans="1:44" x14ac:dyDescent="0.3">
      <c r="A209" s="2" t="s">
        <v>422</v>
      </c>
      <c r="B209" s="2" t="s">
        <v>423</v>
      </c>
      <c r="C209">
        <v>4.3010000000000001E-3</v>
      </c>
      <c r="D209">
        <v>1.3640804453429375E-2</v>
      </c>
      <c r="E209" s="18"/>
      <c r="F209" s="18"/>
      <c r="G209" s="18">
        <f t="shared" si="64"/>
        <v>0</v>
      </c>
      <c r="H209" s="18">
        <f t="shared" si="74"/>
        <v>0</v>
      </c>
      <c r="I209" s="18"/>
      <c r="J209" s="18"/>
      <c r="K209" s="18">
        <f t="shared" si="65"/>
        <v>0</v>
      </c>
      <c r="L209" s="18">
        <f t="shared" si="75"/>
        <v>0</v>
      </c>
      <c r="M209" s="18"/>
      <c r="N209" s="18"/>
      <c r="O209" s="18">
        <f t="shared" si="66"/>
        <v>0</v>
      </c>
      <c r="P209" s="18">
        <f t="shared" si="76"/>
        <v>0</v>
      </c>
      <c r="Q209" s="18"/>
      <c r="R209" s="18"/>
      <c r="S209" s="18">
        <f t="shared" si="77"/>
        <v>0</v>
      </c>
      <c r="T209" s="18">
        <f t="shared" si="78"/>
        <v>0</v>
      </c>
      <c r="U209" s="18">
        <v>3.5407552635814297E-3</v>
      </c>
      <c r="V209" s="18"/>
      <c r="W209" s="18">
        <f t="shared" si="79"/>
        <v>1.4163021054325719E-3</v>
      </c>
      <c r="X209" s="18">
        <f t="shared" si="80"/>
        <v>0.25957085417284637</v>
      </c>
      <c r="Y209" s="18"/>
      <c r="Z209" s="18"/>
      <c r="AA209" s="18">
        <f t="shared" si="81"/>
        <v>0</v>
      </c>
      <c r="AB209" s="18">
        <f t="shared" si="82"/>
        <v>0</v>
      </c>
      <c r="AC209" s="18"/>
      <c r="AD209" s="18"/>
      <c r="AE209" s="18">
        <f t="shared" si="83"/>
        <v>0</v>
      </c>
      <c r="AF209" s="18">
        <f t="shared" si="84"/>
        <v>0</v>
      </c>
      <c r="AG209" s="18"/>
      <c r="AH209" s="18"/>
      <c r="AI209" s="18">
        <f t="shared" si="67"/>
        <v>0</v>
      </c>
      <c r="AJ209" s="18">
        <f t="shared" si="68"/>
        <v>0</v>
      </c>
      <c r="AK209" s="18"/>
      <c r="AL209" s="18"/>
      <c r="AM209" s="18">
        <f t="shared" si="69"/>
        <v>0</v>
      </c>
      <c r="AN209" s="18">
        <f t="shared" si="70"/>
        <v>0</v>
      </c>
      <c r="AP209">
        <f t="shared" si="71"/>
        <v>0</v>
      </c>
      <c r="AQ209">
        <f t="shared" si="72"/>
        <v>0</v>
      </c>
      <c r="AR209">
        <f t="shared" si="73"/>
        <v>0</v>
      </c>
    </row>
    <row r="210" spans="1:44" x14ac:dyDescent="0.3">
      <c r="A210" s="2" t="s">
        <v>424</v>
      </c>
      <c r="B210" s="2" t="s">
        <v>425</v>
      </c>
      <c r="C210">
        <v>1.15E-3</v>
      </c>
      <c r="D210">
        <v>1.7663883946900235E-3</v>
      </c>
      <c r="E210" s="18"/>
      <c r="F210" s="18"/>
      <c r="G210" s="18">
        <f t="shared" si="64"/>
        <v>0</v>
      </c>
      <c r="H210" s="18">
        <f t="shared" si="74"/>
        <v>0</v>
      </c>
      <c r="I210" s="18"/>
      <c r="J210" s="18"/>
      <c r="K210" s="18">
        <f t="shared" si="65"/>
        <v>0</v>
      </c>
      <c r="L210" s="18">
        <f t="shared" si="75"/>
        <v>0</v>
      </c>
      <c r="M210" s="18"/>
      <c r="N210" s="18"/>
      <c r="O210" s="18">
        <f t="shared" si="66"/>
        <v>0</v>
      </c>
      <c r="P210" s="18">
        <f t="shared" si="76"/>
        <v>0</v>
      </c>
      <c r="Q210" s="18"/>
      <c r="R210" s="18"/>
      <c r="S210" s="18">
        <f t="shared" si="77"/>
        <v>0</v>
      </c>
      <c r="T210" s="18">
        <f t="shared" si="78"/>
        <v>0</v>
      </c>
      <c r="U210" s="18"/>
      <c r="V210" s="18"/>
      <c r="W210" s="18">
        <f t="shared" si="79"/>
        <v>0</v>
      </c>
      <c r="X210" s="18">
        <f t="shared" si="80"/>
        <v>0</v>
      </c>
      <c r="Y210" s="18"/>
      <c r="Z210" s="18"/>
      <c r="AA210" s="18">
        <f t="shared" si="81"/>
        <v>0</v>
      </c>
      <c r="AB210" s="18">
        <f t="shared" si="82"/>
        <v>0</v>
      </c>
      <c r="AC210" s="18"/>
      <c r="AD210" s="18"/>
      <c r="AE210" s="18">
        <f t="shared" si="83"/>
        <v>0</v>
      </c>
      <c r="AF210" s="18">
        <f t="shared" si="84"/>
        <v>0</v>
      </c>
      <c r="AG210" s="18"/>
      <c r="AH210" s="18"/>
      <c r="AI210" s="18">
        <f t="shared" si="67"/>
        <v>0</v>
      </c>
      <c r="AJ210" s="18">
        <f t="shared" si="68"/>
        <v>0</v>
      </c>
      <c r="AK210" s="18"/>
      <c r="AL210" s="18"/>
      <c r="AM210" s="18">
        <f t="shared" si="69"/>
        <v>0</v>
      </c>
      <c r="AN210" s="18">
        <f t="shared" si="70"/>
        <v>0</v>
      </c>
      <c r="AP210">
        <f t="shared" si="71"/>
        <v>0</v>
      </c>
      <c r="AQ210">
        <f t="shared" si="72"/>
        <v>0</v>
      </c>
      <c r="AR210">
        <f t="shared" si="73"/>
        <v>0</v>
      </c>
    </row>
    <row r="211" spans="1:44" x14ac:dyDescent="0.3">
      <c r="A211" s="2" t="s">
        <v>426</v>
      </c>
      <c r="B211" s="2" t="s">
        <v>427</v>
      </c>
      <c r="C211">
        <v>3.1199999999999999E-4</v>
      </c>
      <c r="D211">
        <v>3.0802922361898607E-3</v>
      </c>
      <c r="E211" s="18"/>
      <c r="F211" s="18"/>
      <c r="G211" s="18">
        <f t="shared" si="64"/>
        <v>0</v>
      </c>
      <c r="H211" s="18">
        <f t="shared" si="74"/>
        <v>0</v>
      </c>
      <c r="I211" s="18"/>
      <c r="J211" s="18"/>
      <c r="K211" s="18">
        <f t="shared" si="65"/>
        <v>0</v>
      </c>
      <c r="L211" s="18">
        <f t="shared" si="75"/>
        <v>0</v>
      </c>
      <c r="M211" s="18"/>
      <c r="N211" s="18"/>
      <c r="O211" s="18">
        <f t="shared" si="66"/>
        <v>0</v>
      </c>
      <c r="P211" s="18">
        <f t="shared" si="76"/>
        <v>0</v>
      </c>
      <c r="Q211" s="18"/>
      <c r="R211" s="18"/>
      <c r="S211" s="18">
        <f t="shared" si="77"/>
        <v>0</v>
      </c>
      <c r="T211" s="18">
        <f t="shared" si="78"/>
        <v>0</v>
      </c>
      <c r="U211" s="18"/>
      <c r="V211" s="18"/>
      <c r="W211" s="18">
        <f t="shared" si="79"/>
        <v>0</v>
      </c>
      <c r="X211" s="18">
        <f t="shared" si="80"/>
        <v>0</v>
      </c>
      <c r="Y211" s="18"/>
      <c r="Z211" s="18"/>
      <c r="AA211" s="18">
        <f t="shared" si="81"/>
        <v>0</v>
      </c>
      <c r="AB211" s="18">
        <f t="shared" si="82"/>
        <v>0</v>
      </c>
      <c r="AC211" s="18"/>
      <c r="AD211" s="18"/>
      <c r="AE211" s="18">
        <f t="shared" si="83"/>
        <v>0</v>
      </c>
      <c r="AF211" s="18">
        <f t="shared" si="84"/>
        <v>0</v>
      </c>
      <c r="AG211" s="18"/>
      <c r="AH211" s="18"/>
      <c r="AI211" s="18">
        <f t="shared" si="67"/>
        <v>0</v>
      </c>
      <c r="AJ211" s="18">
        <f t="shared" si="68"/>
        <v>0</v>
      </c>
      <c r="AK211" s="18"/>
      <c r="AL211" s="18"/>
      <c r="AM211" s="18">
        <f t="shared" si="69"/>
        <v>0</v>
      </c>
      <c r="AN211" s="18">
        <f t="shared" si="70"/>
        <v>0</v>
      </c>
      <c r="AP211">
        <f t="shared" si="71"/>
        <v>0</v>
      </c>
      <c r="AQ211">
        <f t="shared" si="72"/>
        <v>0</v>
      </c>
      <c r="AR211">
        <f t="shared" si="73"/>
        <v>0</v>
      </c>
    </row>
    <row r="212" spans="1:44" x14ac:dyDescent="0.3">
      <c r="A212" s="2" t="s">
        <v>428</v>
      </c>
      <c r="B212" s="2" t="s">
        <v>429</v>
      </c>
      <c r="C212">
        <v>2.1999999999999999E-5</v>
      </c>
      <c r="D212">
        <v>8.5153942361425252E-5</v>
      </c>
      <c r="E212" s="18"/>
      <c r="F212" s="18"/>
      <c r="G212" s="18">
        <f t="shared" si="64"/>
        <v>0</v>
      </c>
      <c r="H212" s="18">
        <f t="shared" si="74"/>
        <v>0</v>
      </c>
      <c r="I212" s="18"/>
      <c r="J212" s="18"/>
      <c r="K212" s="18">
        <f t="shared" si="65"/>
        <v>0</v>
      </c>
      <c r="L212" s="18">
        <f t="shared" si="75"/>
        <v>0</v>
      </c>
      <c r="M212" s="18"/>
      <c r="N212" s="18"/>
      <c r="O212" s="18">
        <f t="shared" si="66"/>
        <v>0</v>
      </c>
      <c r="P212" s="18">
        <f t="shared" si="76"/>
        <v>0</v>
      </c>
      <c r="Q212" s="18"/>
      <c r="R212" s="18"/>
      <c r="S212" s="18">
        <f t="shared" si="77"/>
        <v>0</v>
      </c>
      <c r="T212" s="18">
        <f t="shared" si="78"/>
        <v>0</v>
      </c>
      <c r="U212" s="18"/>
      <c r="V212" s="18"/>
      <c r="W212" s="18">
        <f t="shared" si="79"/>
        <v>0</v>
      </c>
      <c r="X212" s="18">
        <f t="shared" si="80"/>
        <v>0</v>
      </c>
      <c r="Y212" s="18"/>
      <c r="Z212" s="18"/>
      <c r="AA212" s="18">
        <f t="shared" si="81"/>
        <v>0</v>
      </c>
      <c r="AB212" s="18">
        <f t="shared" si="82"/>
        <v>0</v>
      </c>
      <c r="AC212" s="18"/>
      <c r="AD212" s="18"/>
      <c r="AE212" s="18">
        <f t="shared" si="83"/>
        <v>0</v>
      </c>
      <c r="AF212" s="18">
        <f t="shared" si="84"/>
        <v>0</v>
      </c>
      <c r="AG212" s="18"/>
      <c r="AH212" s="18"/>
      <c r="AI212" s="18">
        <f t="shared" si="67"/>
        <v>0</v>
      </c>
      <c r="AJ212" s="18">
        <f t="shared" si="68"/>
        <v>0</v>
      </c>
      <c r="AK212" s="18"/>
      <c r="AL212" s="18"/>
      <c r="AM212" s="18">
        <f t="shared" si="69"/>
        <v>0</v>
      </c>
      <c r="AN212" s="18">
        <f t="shared" si="70"/>
        <v>0</v>
      </c>
      <c r="AP212">
        <f t="shared" si="71"/>
        <v>0</v>
      </c>
      <c r="AQ212">
        <f t="shared" si="72"/>
        <v>0</v>
      </c>
      <c r="AR212">
        <f t="shared" si="73"/>
        <v>0</v>
      </c>
    </row>
    <row r="213" spans="1:44" x14ac:dyDescent="0.3">
      <c r="A213" s="2" t="s">
        <v>430</v>
      </c>
      <c r="B213" s="2" t="s">
        <v>431</v>
      </c>
      <c r="C213">
        <v>7.9999999999999996E-6</v>
      </c>
      <c r="D213">
        <v>7.6745381846647375E-6</v>
      </c>
      <c r="E213" s="18"/>
      <c r="F213" s="18"/>
      <c r="G213" s="18">
        <f t="shared" si="64"/>
        <v>0</v>
      </c>
      <c r="H213" s="18">
        <f t="shared" si="74"/>
        <v>0</v>
      </c>
      <c r="I213" s="18"/>
      <c r="J213" s="18"/>
      <c r="K213" s="18">
        <f t="shared" si="65"/>
        <v>0</v>
      </c>
      <c r="L213" s="18">
        <f t="shared" si="75"/>
        <v>0</v>
      </c>
      <c r="M213" s="18"/>
      <c r="N213" s="18"/>
      <c r="O213" s="18">
        <f t="shared" si="66"/>
        <v>0</v>
      </c>
      <c r="P213" s="18">
        <f t="shared" si="76"/>
        <v>0</v>
      </c>
      <c r="Q213" s="18"/>
      <c r="R213" s="18"/>
      <c r="S213" s="18">
        <f t="shared" si="77"/>
        <v>0</v>
      </c>
      <c r="T213" s="18">
        <f t="shared" si="78"/>
        <v>0</v>
      </c>
      <c r="U213" s="18"/>
      <c r="V213" s="18"/>
      <c r="W213" s="18">
        <f t="shared" si="79"/>
        <v>0</v>
      </c>
      <c r="X213" s="18">
        <f t="shared" si="80"/>
        <v>0</v>
      </c>
      <c r="Y213" s="18"/>
      <c r="Z213" s="18"/>
      <c r="AA213" s="18">
        <f t="shared" si="81"/>
        <v>0</v>
      </c>
      <c r="AB213" s="18">
        <f t="shared" si="82"/>
        <v>0</v>
      </c>
      <c r="AC213" s="18"/>
      <c r="AD213" s="18"/>
      <c r="AE213" s="18">
        <f t="shared" si="83"/>
        <v>0</v>
      </c>
      <c r="AF213" s="18">
        <f t="shared" si="84"/>
        <v>0</v>
      </c>
      <c r="AG213" s="18"/>
      <c r="AH213" s="18"/>
      <c r="AI213" s="18">
        <f t="shared" si="67"/>
        <v>0</v>
      </c>
      <c r="AJ213" s="18">
        <f t="shared" si="68"/>
        <v>0</v>
      </c>
      <c r="AK213" s="18"/>
      <c r="AL213" s="18"/>
      <c r="AM213" s="18">
        <f t="shared" si="69"/>
        <v>0</v>
      </c>
      <c r="AN213" s="18">
        <f t="shared" si="70"/>
        <v>0</v>
      </c>
      <c r="AP213">
        <f t="shared" si="71"/>
        <v>0</v>
      </c>
      <c r="AQ213">
        <f t="shared" si="72"/>
        <v>0</v>
      </c>
      <c r="AR213">
        <f t="shared" si="73"/>
        <v>0</v>
      </c>
    </row>
    <row r="214" spans="1:44" x14ac:dyDescent="0.3">
      <c r="A214" s="2" t="s">
        <v>432</v>
      </c>
      <c r="B214" s="2" t="s">
        <v>433</v>
      </c>
      <c r="C214">
        <v>1.1864E-2</v>
      </c>
      <c r="D214">
        <v>1.2750672470747104E-2</v>
      </c>
      <c r="E214" s="18"/>
      <c r="F214" s="18"/>
      <c r="G214" s="18">
        <f t="shared" si="64"/>
        <v>0</v>
      </c>
      <c r="H214" s="18">
        <f t="shared" si="74"/>
        <v>0</v>
      </c>
      <c r="I214" s="18"/>
      <c r="J214" s="18"/>
      <c r="K214" s="18">
        <f t="shared" si="65"/>
        <v>0</v>
      </c>
      <c r="L214" s="18">
        <f t="shared" si="75"/>
        <v>0</v>
      </c>
      <c r="M214" s="18"/>
      <c r="N214" s="18"/>
      <c r="O214" s="18">
        <f t="shared" si="66"/>
        <v>0</v>
      </c>
      <c r="P214" s="18">
        <f t="shared" si="76"/>
        <v>0</v>
      </c>
      <c r="Q214" s="18"/>
      <c r="R214" s="18"/>
      <c r="S214" s="18">
        <f t="shared" si="77"/>
        <v>0</v>
      </c>
      <c r="T214" s="18">
        <f t="shared" si="78"/>
        <v>0</v>
      </c>
      <c r="U214" s="18"/>
      <c r="V214" s="18"/>
      <c r="W214" s="18">
        <f t="shared" si="79"/>
        <v>0</v>
      </c>
      <c r="X214" s="18">
        <f t="shared" si="80"/>
        <v>0</v>
      </c>
      <c r="Y214" s="18"/>
      <c r="Z214" s="18"/>
      <c r="AA214" s="18">
        <f t="shared" si="81"/>
        <v>0</v>
      </c>
      <c r="AB214" s="18">
        <f t="shared" si="82"/>
        <v>0</v>
      </c>
      <c r="AC214" s="18"/>
      <c r="AD214" s="18"/>
      <c r="AE214" s="18">
        <f t="shared" si="83"/>
        <v>0</v>
      </c>
      <c r="AF214" s="18">
        <f t="shared" si="84"/>
        <v>0</v>
      </c>
      <c r="AG214" s="18"/>
      <c r="AH214" s="18"/>
      <c r="AI214" s="18">
        <f t="shared" si="67"/>
        <v>0</v>
      </c>
      <c r="AJ214" s="18">
        <f t="shared" si="68"/>
        <v>0</v>
      </c>
      <c r="AK214" s="18"/>
      <c r="AL214" s="18"/>
      <c r="AM214" s="18">
        <f t="shared" si="69"/>
        <v>0</v>
      </c>
      <c r="AN214" s="18">
        <f t="shared" si="70"/>
        <v>0</v>
      </c>
      <c r="AP214">
        <f t="shared" si="71"/>
        <v>0</v>
      </c>
      <c r="AQ214">
        <f t="shared" si="72"/>
        <v>0</v>
      </c>
      <c r="AR214">
        <f t="shared" si="73"/>
        <v>0</v>
      </c>
    </row>
    <row r="215" spans="1:44" x14ac:dyDescent="0.3">
      <c r="A215" s="2" t="s">
        <v>434</v>
      </c>
      <c r="B215" s="2" t="s">
        <v>435</v>
      </c>
      <c r="C215">
        <v>2.183E-3</v>
      </c>
      <c r="D215">
        <v>1.7964380380414602E-3</v>
      </c>
      <c r="E215" s="18"/>
      <c r="F215" s="18"/>
      <c r="G215" s="18">
        <f t="shared" si="64"/>
        <v>0</v>
      </c>
      <c r="H215" s="18">
        <f t="shared" si="74"/>
        <v>0</v>
      </c>
      <c r="I215" s="18">
        <v>3.2045454545454547E-3</v>
      </c>
      <c r="J215" s="18"/>
      <c r="K215" s="18">
        <f t="shared" si="65"/>
        <v>1.6022727272727274E-3</v>
      </c>
      <c r="L215" s="18">
        <f t="shared" si="75"/>
        <v>1.783832999906394</v>
      </c>
      <c r="M215" s="18"/>
      <c r="N215" s="18"/>
      <c r="O215" s="18">
        <f t="shared" si="66"/>
        <v>0</v>
      </c>
      <c r="P215" s="18">
        <f t="shared" si="76"/>
        <v>0</v>
      </c>
      <c r="Q215" s="18"/>
      <c r="R215" s="18"/>
      <c r="S215" s="18">
        <f t="shared" si="77"/>
        <v>0</v>
      </c>
      <c r="T215" s="18">
        <f t="shared" si="78"/>
        <v>0</v>
      </c>
      <c r="U215" s="18"/>
      <c r="V215" s="18"/>
      <c r="W215" s="18">
        <f t="shared" si="79"/>
        <v>0</v>
      </c>
      <c r="X215" s="18">
        <f t="shared" si="80"/>
        <v>0</v>
      </c>
      <c r="Y215" s="18"/>
      <c r="Z215" s="18"/>
      <c r="AA215" s="18">
        <f t="shared" si="81"/>
        <v>0</v>
      </c>
      <c r="AB215" s="18">
        <f t="shared" si="82"/>
        <v>0</v>
      </c>
      <c r="AC215" s="18"/>
      <c r="AD215" s="18"/>
      <c r="AE215" s="18">
        <f t="shared" si="83"/>
        <v>0</v>
      </c>
      <c r="AF215" s="18">
        <f t="shared" si="84"/>
        <v>0</v>
      </c>
      <c r="AG215" s="18"/>
      <c r="AH215" s="18"/>
      <c r="AI215" s="18">
        <f t="shared" si="67"/>
        <v>0</v>
      </c>
      <c r="AJ215" s="18">
        <f t="shared" si="68"/>
        <v>0</v>
      </c>
      <c r="AK215" s="18"/>
      <c r="AL215" s="18"/>
      <c r="AM215" s="18">
        <f t="shared" si="69"/>
        <v>0</v>
      </c>
      <c r="AN215" s="18">
        <f t="shared" si="70"/>
        <v>0</v>
      </c>
      <c r="AP215">
        <f t="shared" si="71"/>
        <v>1.6022727272727274E-3</v>
      </c>
      <c r="AQ215">
        <f t="shared" si="72"/>
        <v>8.0113636363636368E-4</v>
      </c>
      <c r="AR215">
        <f t="shared" si="73"/>
        <v>8.0113636363636368E-4</v>
      </c>
    </row>
    <row r="216" spans="1:44" x14ac:dyDescent="0.3">
      <c r="A216" s="2" t="s">
        <v>436</v>
      </c>
      <c r="B216" s="2" t="s">
        <v>437</v>
      </c>
      <c r="C216">
        <v>7.3819999999999997E-3</v>
      </c>
      <c r="D216">
        <v>1.837085802368502E-3</v>
      </c>
      <c r="E216" s="18"/>
      <c r="F216" s="18"/>
      <c r="G216" s="18">
        <f t="shared" si="64"/>
        <v>0</v>
      </c>
      <c r="H216" s="18">
        <f t="shared" si="74"/>
        <v>0</v>
      </c>
      <c r="I216" s="18"/>
      <c r="J216" s="18"/>
      <c r="K216" s="18">
        <f t="shared" si="65"/>
        <v>0</v>
      </c>
      <c r="L216" s="18">
        <f t="shared" si="75"/>
        <v>0</v>
      </c>
      <c r="M216" s="18"/>
      <c r="N216" s="18"/>
      <c r="O216" s="18">
        <f t="shared" si="66"/>
        <v>0</v>
      </c>
      <c r="P216" s="18">
        <f t="shared" si="76"/>
        <v>0</v>
      </c>
      <c r="Q216" s="18"/>
      <c r="R216" s="18"/>
      <c r="S216" s="18">
        <f t="shared" si="77"/>
        <v>0</v>
      </c>
      <c r="T216" s="18">
        <f t="shared" si="78"/>
        <v>0</v>
      </c>
      <c r="U216" s="18"/>
      <c r="V216" s="18"/>
      <c r="W216" s="18">
        <f t="shared" si="79"/>
        <v>0</v>
      </c>
      <c r="X216" s="18">
        <f t="shared" si="80"/>
        <v>0</v>
      </c>
      <c r="Y216" s="18"/>
      <c r="Z216" s="18"/>
      <c r="AA216" s="18">
        <f t="shared" si="81"/>
        <v>0</v>
      </c>
      <c r="AB216" s="18">
        <f t="shared" si="82"/>
        <v>0</v>
      </c>
      <c r="AC216" s="18"/>
      <c r="AD216" s="18"/>
      <c r="AE216" s="18">
        <f t="shared" si="83"/>
        <v>0</v>
      </c>
      <c r="AF216" s="18">
        <f t="shared" si="84"/>
        <v>0</v>
      </c>
      <c r="AG216" s="18"/>
      <c r="AH216" s="18"/>
      <c r="AI216" s="18">
        <f t="shared" si="67"/>
        <v>0</v>
      </c>
      <c r="AJ216" s="18">
        <f t="shared" si="68"/>
        <v>0</v>
      </c>
      <c r="AK216" s="18"/>
      <c r="AL216" s="18"/>
      <c r="AM216" s="18">
        <f t="shared" si="69"/>
        <v>0</v>
      </c>
      <c r="AN216" s="18">
        <f t="shared" si="70"/>
        <v>0</v>
      </c>
      <c r="AP216">
        <f t="shared" si="71"/>
        <v>0</v>
      </c>
      <c r="AQ216">
        <f t="shared" si="72"/>
        <v>0</v>
      </c>
      <c r="AR216">
        <f t="shared" si="73"/>
        <v>0</v>
      </c>
    </row>
    <row r="217" spans="1:44" x14ac:dyDescent="0.3">
      <c r="A217" s="2" t="s">
        <v>438</v>
      </c>
      <c r="B217" s="2" t="s">
        <v>439</v>
      </c>
      <c r="C217">
        <v>1.3879999999999999E-3</v>
      </c>
      <c r="D217">
        <v>1.3918810089896194E-3</v>
      </c>
      <c r="E217" s="18">
        <v>2.0957404076215095E-3</v>
      </c>
      <c r="F217" s="18"/>
      <c r="G217" s="18">
        <f t="shared" si="64"/>
        <v>1.2574442445729057E-3</v>
      </c>
      <c r="H217" s="18">
        <f t="shared" si="74"/>
        <v>1.5056893470676986</v>
      </c>
      <c r="I217" s="18"/>
      <c r="J217" s="18"/>
      <c r="K217" s="18">
        <f t="shared" si="65"/>
        <v>0</v>
      </c>
      <c r="L217" s="18">
        <f t="shared" si="75"/>
        <v>0</v>
      </c>
      <c r="M217" s="18"/>
      <c r="N217" s="18"/>
      <c r="O217" s="18">
        <f t="shared" si="66"/>
        <v>0</v>
      </c>
      <c r="P217" s="18">
        <f t="shared" si="76"/>
        <v>0</v>
      </c>
      <c r="Q217" s="18"/>
      <c r="R217" s="18"/>
      <c r="S217" s="18">
        <f t="shared" si="77"/>
        <v>0</v>
      </c>
      <c r="T217" s="18">
        <f t="shared" si="78"/>
        <v>0</v>
      </c>
      <c r="U217" s="18"/>
      <c r="V217" s="18"/>
      <c r="W217" s="18">
        <f t="shared" si="79"/>
        <v>0</v>
      </c>
      <c r="X217" s="18">
        <f t="shared" si="80"/>
        <v>0</v>
      </c>
      <c r="Y217" s="18"/>
      <c r="Z217" s="18"/>
      <c r="AA217" s="18">
        <f t="shared" si="81"/>
        <v>0</v>
      </c>
      <c r="AB217" s="18">
        <f t="shared" si="82"/>
        <v>0</v>
      </c>
      <c r="AC217" s="18"/>
      <c r="AD217" s="18"/>
      <c r="AE217" s="18">
        <f t="shared" si="83"/>
        <v>0</v>
      </c>
      <c r="AF217" s="18">
        <f t="shared" si="84"/>
        <v>0</v>
      </c>
      <c r="AG217" s="18"/>
      <c r="AH217" s="18"/>
      <c r="AI217" s="18">
        <f t="shared" si="67"/>
        <v>0</v>
      </c>
      <c r="AJ217" s="18">
        <f t="shared" si="68"/>
        <v>0</v>
      </c>
      <c r="AK217" s="18"/>
      <c r="AL217" s="18"/>
      <c r="AM217" s="18">
        <f t="shared" si="69"/>
        <v>0</v>
      </c>
      <c r="AN217" s="18">
        <f t="shared" si="70"/>
        <v>0</v>
      </c>
      <c r="AP217">
        <f t="shared" si="71"/>
        <v>1.2574442445729057E-3</v>
      </c>
      <c r="AQ217">
        <f t="shared" si="72"/>
        <v>6.2872212228645284E-4</v>
      </c>
      <c r="AR217">
        <f t="shared" si="73"/>
        <v>6.2872212228645284E-4</v>
      </c>
    </row>
    <row r="218" spans="1:44" x14ac:dyDescent="0.3">
      <c r="A218" s="2" t="s">
        <v>440</v>
      </c>
      <c r="B218" s="2" t="s">
        <v>441</v>
      </c>
      <c r="C218">
        <v>6.2240000000000004E-3</v>
      </c>
      <c r="D218">
        <v>6.7460969027529905E-3</v>
      </c>
      <c r="E218" s="18"/>
      <c r="F218" s="18"/>
      <c r="G218" s="18">
        <f t="shared" si="64"/>
        <v>0</v>
      </c>
      <c r="H218" s="18">
        <f t="shared" si="74"/>
        <v>0</v>
      </c>
      <c r="I218" s="18"/>
      <c r="J218" s="18"/>
      <c r="K218" s="18">
        <f t="shared" si="65"/>
        <v>0</v>
      </c>
      <c r="L218" s="18">
        <f t="shared" si="75"/>
        <v>0</v>
      </c>
      <c r="M218" s="18"/>
      <c r="N218" s="18"/>
      <c r="O218" s="18">
        <f t="shared" si="66"/>
        <v>0</v>
      </c>
      <c r="P218" s="18">
        <f t="shared" si="76"/>
        <v>0</v>
      </c>
      <c r="Q218" s="18"/>
      <c r="R218" s="18"/>
      <c r="S218" s="18">
        <f t="shared" si="77"/>
        <v>0</v>
      </c>
      <c r="T218" s="18">
        <f t="shared" si="78"/>
        <v>0</v>
      </c>
      <c r="U218" s="18"/>
      <c r="V218" s="18"/>
      <c r="W218" s="18">
        <f t="shared" si="79"/>
        <v>0</v>
      </c>
      <c r="X218" s="18">
        <f t="shared" si="80"/>
        <v>0</v>
      </c>
      <c r="Y218" s="18"/>
      <c r="Z218" s="18"/>
      <c r="AA218" s="18">
        <f t="shared" si="81"/>
        <v>0</v>
      </c>
      <c r="AB218" s="18">
        <f t="shared" si="82"/>
        <v>0</v>
      </c>
      <c r="AC218" s="18"/>
      <c r="AD218" s="18"/>
      <c r="AE218" s="18">
        <f t="shared" si="83"/>
        <v>0</v>
      </c>
      <c r="AF218" s="18">
        <f t="shared" si="84"/>
        <v>0</v>
      </c>
      <c r="AG218" s="18"/>
      <c r="AH218" s="18"/>
      <c r="AI218" s="18">
        <f t="shared" si="67"/>
        <v>0</v>
      </c>
      <c r="AJ218" s="18">
        <f t="shared" si="68"/>
        <v>0</v>
      </c>
      <c r="AK218" s="18"/>
      <c r="AL218" s="18"/>
      <c r="AM218" s="18">
        <f t="shared" si="69"/>
        <v>0</v>
      </c>
      <c r="AN218" s="18">
        <f t="shared" si="70"/>
        <v>0</v>
      </c>
      <c r="AP218">
        <f t="shared" si="71"/>
        <v>0</v>
      </c>
      <c r="AQ218">
        <f t="shared" si="72"/>
        <v>0</v>
      </c>
      <c r="AR218">
        <f t="shared" si="73"/>
        <v>0</v>
      </c>
    </row>
    <row r="219" spans="1:44" x14ac:dyDescent="0.3">
      <c r="A219" s="2" t="s">
        <v>442</v>
      </c>
      <c r="B219" s="2" t="s">
        <v>443</v>
      </c>
      <c r="C219">
        <v>3.1729E-2</v>
      </c>
      <c r="D219">
        <v>4.7905387617582826E-2</v>
      </c>
      <c r="E219" s="18">
        <v>2.8874645616118574E-2</v>
      </c>
      <c r="F219" s="18"/>
      <c r="G219" s="18">
        <f t="shared" si="64"/>
        <v>1.7324787369671142E-2</v>
      </c>
      <c r="H219" s="18">
        <f t="shared" si="74"/>
        <v>0.60274317883862916</v>
      </c>
      <c r="I219" s="18"/>
      <c r="J219" s="18"/>
      <c r="K219" s="18">
        <f t="shared" si="65"/>
        <v>0</v>
      </c>
      <c r="L219" s="18">
        <f t="shared" si="75"/>
        <v>0</v>
      </c>
      <c r="M219" s="18"/>
      <c r="N219" s="18"/>
      <c r="O219" s="18">
        <f t="shared" si="66"/>
        <v>0</v>
      </c>
      <c r="P219" s="18">
        <f t="shared" si="76"/>
        <v>0</v>
      </c>
      <c r="Q219" s="18">
        <v>1.0741066453635517E-3</v>
      </c>
      <c r="R219" s="18"/>
      <c r="S219" s="18">
        <f t="shared" si="77"/>
        <v>3.2223199360906549E-4</v>
      </c>
      <c r="T219" s="18">
        <f t="shared" si="78"/>
        <v>2.2421416437288566E-2</v>
      </c>
      <c r="U219" s="18">
        <v>1.2875473685750654E-3</v>
      </c>
      <c r="V219" s="18"/>
      <c r="W219" s="18">
        <f t="shared" si="79"/>
        <v>5.1501894743002615E-4</v>
      </c>
      <c r="X219" s="18">
        <f t="shared" si="80"/>
        <v>2.6876880296914537E-2</v>
      </c>
      <c r="Y219" s="18"/>
      <c r="Z219" s="18"/>
      <c r="AA219" s="18">
        <f t="shared" si="81"/>
        <v>0</v>
      </c>
      <c r="AB219" s="18">
        <f t="shared" si="82"/>
        <v>0</v>
      </c>
      <c r="AC219" s="18">
        <v>0.21191179760068751</v>
      </c>
      <c r="AD219" s="18"/>
      <c r="AE219" s="18">
        <f t="shared" si="83"/>
        <v>0.10595589880034376</v>
      </c>
      <c r="AF219" s="18">
        <f t="shared" si="84"/>
        <v>4.423548334319479</v>
      </c>
      <c r="AG219" s="18"/>
      <c r="AH219" s="18"/>
      <c r="AI219" s="18">
        <f t="shared" si="67"/>
        <v>0</v>
      </c>
      <c r="AJ219" s="18">
        <f t="shared" si="68"/>
        <v>0</v>
      </c>
      <c r="AK219" s="18"/>
      <c r="AL219" s="18"/>
      <c r="AM219" s="18">
        <f t="shared" si="69"/>
        <v>0</v>
      </c>
      <c r="AN219" s="18">
        <f t="shared" si="70"/>
        <v>0</v>
      </c>
      <c r="AP219">
        <f t="shared" si="71"/>
        <v>1.7324787369671142E-2</v>
      </c>
      <c r="AQ219">
        <f t="shared" si="72"/>
        <v>8.6623936848355711E-3</v>
      </c>
      <c r="AR219">
        <f t="shared" si="73"/>
        <v>8.6623936848355711E-3</v>
      </c>
    </row>
    <row r="220" spans="1:44" x14ac:dyDescent="0.3">
      <c r="A220" s="2" t="s">
        <v>444</v>
      </c>
      <c r="B220" s="2" t="s">
        <v>445</v>
      </c>
      <c r="C220">
        <v>2.1950000000000001E-2</v>
      </c>
      <c r="D220">
        <v>2.194963217903876E-2</v>
      </c>
      <c r="E220" s="18"/>
      <c r="F220" s="18"/>
      <c r="G220" s="18">
        <f t="shared" si="64"/>
        <v>0</v>
      </c>
      <c r="H220" s="18">
        <f t="shared" si="74"/>
        <v>0</v>
      </c>
      <c r="I220" s="18"/>
      <c r="J220" s="18"/>
      <c r="K220" s="18">
        <f t="shared" si="65"/>
        <v>0</v>
      </c>
      <c r="L220" s="18">
        <f t="shared" si="75"/>
        <v>0</v>
      </c>
      <c r="M220" s="18"/>
      <c r="N220" s="18"/>
      <c r="O220" s="18">
        <f t="shared" si="66"/>
        <v>0</v>
      </c>
      <c r="P220" s="18">
        <f t="shared" si="76"/>
        <v>0</v>
      </c>
      <c r="Q220" s="18"/>
      <c r="R220" s="18"/>
      <c r="S220" s="18">
        <f t="shared" si="77"/>
        <v>0</v>
      </c>
      <c r="T220" s="18">
        <f t="shared" si="78"/>
        <v>0</v>
      </c>
      <c r="U220" s="18"/>
      <c r="V220" s="18"/>
      <c r="W220" s="18">
        <f t="shared" si="79"/>
        <v>0</v>
      </c>
      <c r="X220" s="18">
        <f t="shared" si="80"/>
        <v>0</v>
      </c>
      <c r="Y220" s="18"/>
      <c r="Z220" s="18"/>
      <c r="AA220" s="18">
        <f t="shared" si="81"/>
        <v>0</v>
      </c>
      <c r="AB220" s="18">
        <f t="shared" si="82"/>
        <v>0</v>
      </c>
      <c r="AC220" s="18"/>
      <c r="AD220" s="18"/>
      <c r="AE220" s="18">
        <f t="shared" si="83"/>
        <v>0</v>
      </c>
      <c r="AF220" s="18">
        <f t="shared" si="84"/>
        <v>0</v>
      </c>
      <c r="AG220" s="18"/>
      <c r="AH220" s="18"/>
      <c r="AI220" s="18">
        <f t="shared" si="67"/>
        <v>0</v>
      </c>
      <c r="AJ220" s="18">
        <f t="shared" si="68"/>
        <v>0</v>
      </c>
      <c r="AK220" s="18"/>
      <c r="AL220" s="18"/>
      <c r="AM220" s="18">
        <f t="shared" si="69"/>
        <v>0</v>
      </c>
      <c r="AN220" s="18">
        <f t="shared" si="70"/>
        <v>0</v>
      </c>
      <c r="AP220">
        <f t="shared" si="71"/>
        <v>0</v>
      </c>
      <c r="AQ220">
        <f t="shared" si="72"/>
        <v>0</v>
      </c>
      <c r="AR220">
        <f t="shared" si="73"/>
        <v>0</v>
      </c>
    </row>
    <row r="221" spans="1:44" x14ac:dyDescent="0.3">
      <c r="A221" s="2" t="s">
        <v>446</v>
      </c>
      <c r="B221" s="2" t="s">
        <v>447</v>
      </c>
      <c r="C221">
        <v>2.3699999999999999E-4</v>
      </c>
      <c r="D221">
        <v>2.3672159122195173E-4</v>
      </c>
      <c r="E221" s="18"/>
      <c r="F221" s="18"/>
      <c r="G221" s="18">
        <f t="shared" si="64"/>
        <v>0</v>
      </c>
      <c r="H221" s="18">
        <f t="shared" si="74"/>
        <v>0</v>
      </c>
      <c r="I221" s="18"/>
      <c r="J221" s="18"/>
      <c r="K221" s="18">
        <f t="shared" si="65"/>
        <v>0</v>
      </c>
      <c r="L221" s="18">
        <f t="shared" si="75"/>
        <v>0</v>
      </c>
      <c r="M221" s="18"/>
      <c r="N221" s="18"/>
      <c r="O221" s="18">
        <f t="shared" si="66"/>
        <v>0</v>
      </c>
      <c r="P221" s="18">
        <f t="shared" si="76"/>
        <v>0</v>
      </c>
      <c r="Q221" s="18"/>
      <c r="R221" s="18"/>
      <c r="S221" s="18">
        <f t="shared" si="77"/>
        <v>0</v>
      </c>
      <c r="T221" s="18">
        <f t="shared" si="78"/>
        <v>0</v>
      </c>
      <c r="U221" s="18"/>
      <c r="V221" s="18"/>
      <c r="W221" s="18">
        <f t="shared" si="79"/>
        <v>0</v>
      </c>
      <c r="X221" s="18">
        <f t="shared" si="80"/>
        <v>0</v>
      </c>
      <c r="Y221" s="18"/>
      <c r="Z221" s="18"/>
      <c r="AA221" s="18">
        <f t="shared" si="81"/>
        <v>0</v>
      </c>
      <c r="AB221" s="18">
        <f t="shared" si="82"/>
        <v>0</v>
      </c>
      <c r="AC221" s="18"/>
      <c r="AD221" s="18"/>
      <c r="AE221" s="18">
        <f t="shared" si="83"/>
        <v>0</v>
      </c>
      <c r="AF221" s="18">
        <f t="shared" si="84"/>
        <v>0</v>
      </c>
      <c r="AG221" s="18"/>
      <c r="AH221" s="18"/>
      <c r="AI221" s="18">
        <f t="shared" si="67"/>
        <v>0</v>
      </c>
      <c r="AJ221" s="18">
        <f t="shared" si="68"/>
        <v>0</v>
      </c>
      <c r="AK221" s="18"/>
      <c r="AL221" s="18"/>
      <c r="AM221" s="18">
        <f t="shared" si="69"/>
        <v>0</v>
      </c>
      <c r="AN221" s="18">
        <f t="shared" si="70"/>
        <v>0</v>
      </c>
      <c r="AP221">
        <f t="shared" si="71"/>
        <v>0</v>
      </c>
      <c r="AQ221">
        <f t="shared" si="72"/>
        <v>0</v>
      </c>
      <c r="AR221">
        <f t="shared" si="73"/>
        <v>0</v>
      </c>
    </row>
    <row r="222" spans="1:44" x14ac:dyDescent="0.3">
      <c r="A222" s="2" t="s">
        <v>448</v>
      </c>
      <c r="B222" s="2" t="s">
        <v>449</v>
      </c>
      <c r="C222">
        <v>8.0000000000000007E-5</v>
      </c>
      <c r="D222">
        <v>8.0368570263227143E-5</v>
      </c>
      <c r="E222" s="18"/>
      <c r="F222" s="18"/>
      <c r="G222" s="18">
        <f t="shared" si="64"/>
        <v>0</v>
      </c>
      <c r="H222" s="18">
        <f t="shared" si="74"/>
        <v>0</v>
      </c>
      <c r="I222" s="18"/>
      <c r="J222" s="18"/>
      <c r="K222" s="18">
        <f t="shared" si="65"/>
        <v>0</v>
      </c>
      <c r="L222" s="18">
        <f t="shared" si="75"/>
        <v>0</v>
      </c>
      <c r="M222" s="18"/>
      <c r="N222" s="18"/>
      <c r="O222" s="18">
        <f t="shared" si="66"/>
        <v>0</v>
      </c>
      <c r="P222" s="18">
        <f t="shared" si="76"/>
        <v>0</v>
      </c>
      <c r="Q222" s="18"/>
      <c r="R222" s="18"/>
      <c r="S222" s="18">
        <f t="shared" si="77"/>
        <v>0</v>
      </c>
      <c r="T222" s="18">
        <f t="shared" si="78"/>
        <v>0</v>
      </c>
      <c r="U222" s="18"/>
      <c r="V222" s="18"/>
      <c r="W222" s="18">
        <f t="shared" si="79"/>
        <v>0</v>
      </c>
      <c r="X222" s="18">
        <f t="shared" si="80"/>
        <v>0</v>
      </c>
      <c r="Y222" s="18"/>
      <c r="Z222" s="18"/>
      <c r="AA222" s="18">
        <f t="shared" si="81"/>
        <v>0</v>
      </c>
      <c r="AB222" s="18">
        <f t="shared" si="82"/>
        <v>0</v>
      </c>
      <c r="AC222" s="18"/>
      <c r="AD222" s="18"/>
      <c r="AE222" s="18">
        <f t="shared" si="83"/>
        <v>0</v>
      </c>
      <c r="AF222" s="18">
        <f t="shared" si="84"/>
        <v>0</v>
      </c>
      <c r="AG222" s="18"/>
      <c r="AH222" s="18"/>
      <c r="AI222" s="18">
        <f t="shared" si="67"/>
        <v>0</v>
      </c>
      <c r="AJ222" s="18">
        <f t="shared" si="68"/>
        <v>0</v>
      </c>
      <c r="AK222" s="18"/>
      <c r="AL222" s="18"/>
      <c r="AM222" s="18">
        <f t="shared" si="69"/>
        <v>0</v>
      </c>
      <c r="AN222" s="18">
        <f t="shared" si="70"/>
        <v>0</v>
      </c>
      <c r="AP222">
        <f t="shared" si="71"/>
        <v>0</v>
      </c>
      <c r="AQ222">
        <f t="shared" si="72"/>
        <v>0</v>
      </c>
      <c r="AR222">
        <f t="shared" si="73"/>
        <v>0</v>
      </c>
    </row>
    <row r="223" spans="1:44" x14ac:dyDescent="0.3">
      <c r="A223" s="2" t="s">
        <v>450</v>
      </c>
      <c r="B223" s="2" t="s">
        <v>451</v>
      </c>
      <c r="C223">
        <v>3.2690000000000002E-3</v>
      </c>
      <c r="D223">
        <v>4.0449054996258976E-3</v>
      </c>
      <c r="E223" s="18"/>
      <c r="F223" s="18"/>
      <c r="G223" s="18">
        <f t="shared" si="64"/>
        <v>0</v>
      </c>
      <c r="H223" s="18">
        <f t="shared" si="74"/>
        <v>0</v>
      </c>
      <c r="I223" s="18"/>
      <c r="J223" s="18"/>
      <c r="K223" s="18">
        <f t="shared" si="65"/>
        <v>0</v>
      </c>
      <c r="L223" s="18">
        <f t="shared" si="75"/>
        <v>0</v>
      </c>
      <c r="M223" s="18"/>
      <c r="N223" s="18"/>
      <c r="O223" s="18">
        <f t="shared" si="66"/>
        <v>0</v>
      </c>
      <c r="P223" s="18">
        <f t="shared" si="76"/>
        <v>0</v>
      </c>
      <c r="Q223" s="18"/>
      <c r="R223" s="18"/>
      <c r="S223" s="18">
        <f t="shared" si="77"/>
        <v>0</v>
      </c>
      <c r="T223" s="18">
        <f t="shared" si="78"/>
        <v>0</v>
      </c>
      <c r="U223" s="18"/>
      <c r="V223" s="18"/>
      <c r="W223" s="18">
        <f t="shared" si="79"/>
        <v>0</v>
      </c>
      <c r="X223" s="18">
        <f t="shared" si="80"/>
        <v>0</v>
      </c>
      <c r="Y223" s="18"/>
      <c r="Z223" s="18"/>
      <c r="AA223" s="18">
        <f t="shared" si="81"/>
        <v>0</v>
      </c>
      <c r="AB223" s="18">
        <f t="shared" si="82"/>
        <v>0</v>
      </c>
      <c r="AC223" s="18"/>
      <c r="AD223" s="18"/>
      <c r="AE223" s="18">
        <f t="shared" si="83"/>
        <v>0</v>
      </c>
      <c r="AF223" s="18">
        <f t="shared" si="84"/>
        <v>0</v>
      </c>
      <c r="AG223" s="18"/>
      <c r="AH223" s="18"/>
      <c r="AI223" s="18">
        <f t="shared" si="67"/>
        <v>0</v>
      </c>
      <c r="AJ223" s="18">
        <f t="shared" si="68"/>
        <v>0</v>
      </c>
      <c r="AK223" s="18"/>
      <c r="AL223" s="18"/>
      <c r="AM223" s="18">
        <f t="shared" si="69"/>
        <v>0</v>
      </c>
      <c r="AN223" s="18">
        <f t="shared" si="70"/>
        <v>0</v>
      </c>
      <c r="AP223">
        <f t="shared" si="71"/>
        <v>0</v>
      </c>
      <c r="AQ223">
        <f t="shared" si="72"/>
        <v>0</v>
      </c>
      <c r="AR223">
        <f t="shared" si="73"/>
        <v>0</v>
      </c>
    </row>
    <row r="224" spans="1:44" x14ac:dyDescent="0.3">
      <c r="A224" s="2" t="s">
        <v>452</v>
      </c>
      <c r="B224" s="2" t="s">
        <v>453</v>
      </c>
      <c r="C224">
        <v>7.7619999999999998E-3</v>
      </c>
      <c r="D224">
        <v>7.7615647314498602E-3</v>
      </c>
      <c r="E224" s="18"/>
      <c r="F224" s="18"/>
      <c r="G224" s="18">
        <f t="shared" si="64"/>
        <v>0</v>
      </c>
      <c r="H224" s="18">
        <f t="shared" si="74"/>
        <v>0</v>
      </c>
      <c r="I224" s="18"/>
      <c r="J224" s="18"/>
      <c r="K224" s="18">
        <f t="shared" si="65"/>
        <v>0</v>
      </c>
      <c r="L224" s="18">
        <f t="shared" si="75"/>
        <v>0</v>
      </c>
      <c r="M224" s="18"/>
      <c r="N224" s="18"/>
      <c r="O224" s="18">
        <f t="shared" si="66"/>
        <v>0</v>
      </c>
      <c r="P224" s="18">
        <f t="shared" si="76"/>
        <v>0</v>
      </c>
      <c r="Q224" s="18"/>
      <c r="R224" s="18"/>
      <c r="S224" s="18">
        <f t="shared" si="77"/>
        <v>0</v>
      </c>
      <c r="T224" s="18">
        <f t="shared" si="78"/>
        <v>0</v>
      </c>
      <c r="U224" s="18"/>
      <c r="V224" s="18"/>
      <c r="W224" s="18">
        <f t="shared" si="79"/>
        <v>0</v>
      </c>
      <c r="X224" s="18">
        <f t="shared" si="80"/>
        <v>0</v>
      </c>
      <c r="Y224" s="18"/>
      <c r="Z224" s="18"/>
      <c r="AA224" s="18">
        <f t="shared" si="81"/>
        <v>0</v>
      </c>
      <c r="AB224" s="18">
        <f t="shared" si="82"/>
        <v>0</v>
      </c>
      <c r="AC224" s="18"/>
      <c r="AD224" s="18"/>
      <c r="AE224" s="18">
        <f t="shared" si="83"/>
        <v>0</v>
      </c>
      <c r="AF224" s="18">
        <f t="shared" si="84"/>
        <v>0</v>
      </c>
      <c r="AG224" s="18"/>
      <c r="AH224" s="18"/>
      <c r="AI224" s="18">
        <f t="shared" si="67"/>
        <v>0</v>
      </c>
      <c r="AJ224" s="18">
        <f t="shared" si="68"/>
        <v>0</v>
      </c>
      <c r="AK224" s="18"/>
      <c r="AL224" s="18"/>
      <c r="AM224" s="18">
        <f t="shared" si="69"/>
        <v>0</v>
      </c>
      <c r="AN224" s="18">
        <f t="shared" si="70"/>
        <v>0</v>
      </c>
      <c r="AP224">
        <f t="shared" si="71"/>
        <v>0</v>
      </c>
      <c r="AQ224">
        <f t="shared" si="72"/>
        <v>0</v>
      </c>
      <c r="AR224">
        <f t="shared" si="73"/>
        <v>0</v>
      </c>
    </row>
    <row r="225" spans="1:44" x14ac:dyDescent="0.3">
      <c r="A225" s="2" t="s">
        <v>454</v>
      </c>
      <c r="B225" s="2" t="s">
        <v>455</v>
      </c>
      <c r="C225">
        <v>3.2400000000000001E-4</v>
      </c>
      <c r="D225">
        <v>2.775300356271101E-7</v>
      </c>
      <c r="E225" s="18"/>
      <c r="F225" s="18"/>
      <c r="G225" s="18">
        <f t="shared" si="64"/>
        <v>0</v>
      </c>
      <c r="H225" s="18">
        <f t="shared" si="74"/>
        <v>0</v>
      </c>
      <c r="I225" s="18"/>
      <c r="J225" s="18"/>
      <c r="K225" s="18">
        <f t="shared" si="65"/>
        <v>0</v>
      </c>
      <c r="L225" s="18">
        <f t="shared" si="75"/>
        <v>0</v>
      </c>
      <c r="M225" s="18"/>
      <c r="N225" s="18"/>
      <c r="O225" s="18">
        <f t="shared" si="66"/>
        <v>0</v>
      </c>
      <c r="P225" s="18">
        <f t="shared" si="76"/>
        <v>0</v>
      </c>
      <c r="Q225" s="18"/>
      <c r="R225" s="18"/>
      <c r="S225" s="18">
        <f t="shared" si="77"/>
        <v>0</v>
      </c>
      <c r="T225" s="18">
        <f t="shared" si="78"/>
        <v>0</v>
      </c>
      <c r="U225" s="18"/>
      <c r="V225" s="18"/>
      <c r="W225" s="18">
        <f t="shared" si="79"/>
        <v>0</v>
      </c>
      <c r="X225" s="18">
        <f t="shared" si="80"/>
        <v>0</v>
      </c>
      <c r="Y225" s="18"/>
      <c r="Z225" s="18"/>
      <c r="AA225" s="18">
        <f t="shared" si="81"/>
        <v>0</v>
      </c>
      <c r="AB225" s="18">
        <f t="shared" si="82"/>
        <v>0</v>
      </c>
      <c r="AC225" s="18"/>
      <c r="AD225" s="18"/>
      <c r="AE225" s="18">
        <f t="shared" si="83"/>
        <v>0</v>
      </c>
      <c r="AF225" s="18">
        <f t="shared" si="84"/>
        <v>0</v>
      </c>
      <c r="AG225" s="18"/>
      <c r="AH225" s="18"/>
      <c r="AI225" s="18">
        <f t="shared" si="67"/>
        <v>0</v>
      </c>
      <c r="AJ225" s="18">
        <f t="shared" si="68"/>
        <v>0</v>
      </c>
      <c r="AK225" s="18"/>
      <c r="AL225" s="18"/>
      <c r="AM225" s="18">
        <f t="shared" si="69"/>
        <v>0</v>
      </c>
      <c r="AN225" s="18">
        <f t="shared" si="70"/>
        <v>0</v>
      </c>
      <c r="AP225">
        <f t="shared" si="71"/>
        <v>0</v>
      </c>
      <c r="AQ225">
        <f t="shared" si="72"/>
        <v>0</v>
      </c>
      <c r="AR225">
        <f t="shared" si="73"/>
        <v>0</v>
      </c>
    </row>
    <row r="226" spans="1:44" x14ac:dyDescent="0.3">
      <c r="A226" s="8" t="s">
        <v>456</v>
      </c>
      <c r="B226" s="8" t="s">
        <v>457</v>
      </c>
      <c r="C226">
        <v>2.3440000000000002E-3</v>
      </c>
      <c r="D226">
        <v>4.0855742088842673E-3</v>
      </c>
      <c r="E226" s="18"/>
      <c r="F226" s="18"/>
      <c r="G226" s="18">
        <f t="shared" si="64"/>
        <v>0</v>
      </c>
      <c r="H226" s="18">
        <f t="shared" si="74"/>
        <v>0</v>
      </c>
      <c r="I226" s="18"/>
      <c r="J226" s="18"/>
      <c r="K226" s="18">
        <f t="shared" si="65"/>
        <v>0</v>
      </c>
      <c r="L226" s="18">
        <f t="shared" si="75"/>
        <v>0</v>
      </c>
      <c r="M226" s="18"/>
      <c r="N226" s="18"/>
      <c r="O226" s="18">
        <f t="shared" si="66"/>
        <v>0</v>
      </c>
      <c r="P226" s="18">
        <f t="shared" si="76"/>
        <v>0</v>
      </c>
      <c r="Q226" s="18"/>
      <c r="R226" s="18"/>
      <c r="S226" s="18">
        <f t="shared" si="77"/>
        <v>0</v>
      </c>
      <c r="T226" s="18">
        <f t="shared" si="78"/>
        <v>0</v>
      </c>
      <c r="U226" s="18"/>
      <c r="V226" s="18"/>
      <c r="W226" s="18">
        <f t="shared" si="79"/>
        <v>0</v>
      </c>
      <c r="X226" s="18">
        <f t="shared" si="80"/>
        <v>0</v>
      </c>
      <c r="Y226" s="18"/>
      <c r="Z226" s="18"/>
      <c r="AA226" s="18">
        <f t="shared" si="81"/>
        <v>0</v>
      </c>
      <c r="AB226" s="18">
        <f t="shared" si="82"/>
        <v>0</v>
      </c>
      <c r="AC226" s="18"/>
      <c r="AD226" s="18"/>
      <c r="AE226" s="18">
        <f t="shared" si="83"/>
        <v>0</v>
      </c>
      <c r="AF226" s="18">
        <f t="shared" si="84"/>
        <v>0</v>
      </c>
      <c r="AG226" s="18"/>
      <c r="AH226" s="18"/>
      <c r="AI226" s="18">
        <f t="shared" si="67"/>
        <v>0</v>
      </c>
      <c r="AJ226" s="18">
        <f t="shared" si="68"/>
        <v>0</v>
      </c>
      <c r="AK226" s="18"/>
      <c r="AL226" s="18"/>
      <c r="AM226" s="18">
        <f t="shared" si="69"/>
        <v>0</v>
      </c>
      <c r="AN226" s="18">
        <f t="shared" si="70"/>
        <v>0</v>
      </c>
      <c r="AP226">
        <f t="shared" si="71"/>
        <v>0</v>
      </c>
      <c r="AQ226">
        <f t="shared" si="72"/>
        <v>0</v>
      </c>
      <c r="AR226">
        <f t="shared" si="73"/>
        <v>0</v>
      </c>
    </row>
    <row r="227" spans="1:44" ht="15" thickBot="1" x14ac:dyDescent="0.35">
      <c r="A227" s="9" t="s">
        <v>458</v>
      </c>
      <c r="B227" s="9" t="s">
        <v>459</v>
      </c>
      <c r="C227">
        <v>6.5929999999999999E-3</v>
      </c>
      <c r="D227">
        <v>7.8899327687121414E-3</v>
      </c>
      <c r="E227" s="19"/>
      <c r="F227" s="19"/>
      <c r="G227" s="18">
        <f t="shared" si="64"/>
        <v>0</v>
      </c>
      <c r="H227" s="18">
        <f t="shared" si="74"/>
        <v>0</v>
      </c>
      <c r="I227" s="18"/>
      <c r="J227" s="18"/>
      <c r="K227" s="18">
        <f t="shared" si="65"/>
        <v>0</v>
      </c>
      <c r="L227" s="18">
        <f t="shared" si="75"/>
        <v>0</v>
      </c>
      <c r="M227" s="18"/>
      <c r="N227" s="18"/>
      <c r="O227" s="18">
        <f t="shared" si="66"/>
        <v>0</v>
      </c>
      <c r="P227" s="18">
        <f t="shared" si="76"/>
        <v>0</v>
      </c>
      <c r="Q227" s="18"/>
      <c r="R227" s="18"/>
      <c r="S227" s="18">
        <f t="shared" si="77"/>
        <v>0</v>
      </c>
      <c r="T227" s="18">
        <f t="shared" si="78"/>
        <v>0</v>
      </c>
      <c r="U227" s="18"/>
      <c r="V227" s="18"/>
      <c r="W227" s="18">
        <f t="shared" si="79"/>
        <v>0</v>
      </c>
      <c r="X227" s="18">
        <f t="shared" si="80"/>
        <v>0</v>
      </c>
      <c r="Y227" s="18"/>
      <c r="Z227" s="18"/>
      <c r="AA227" s="18">
        <f t="shared" si="81"/>
        <v>0</v>
      </c>
      <c r="AB227" s="18">
        <f t="shared" si="82"/>
        <v>0</v>
      </c>
      <c r="AC227" s="18"/>
      <c r="AD227" s="18"/>
      <c r="AE227" s="18">
        <f t="shared" si="83"/>
        <v>0</v>
      </c>
      <c r="AF227" s="18">
        <f t="shared" si="84"/>
        <v>0</v>
      </c>
      <c r="AG227" s="18"/>
      <c r="AH227" s="18"/>
      <c r="AI227" s="18">
        <f t="shared" si="67"/>
        <v>0</v>
      </c>
      <c r="AJ227" s="18">
        <f t="shared" si="68"/>
        <v>0</v>
      </c>
      <c r="AK227" s="18"/>
      <c r="AL227" s="18"/>
      <c r="AM227" s="18">
        <f t="shared" si="69"/>
        <v>0</v>
      </c>
      <c r="AN227" s="18">
        <f t="shared" si="70"/>
        <v>0</v>
      </c>
      <c r="AP227">
        <f t="shared" si="71"/>
        <v>0</v>
      </c>
      <c r="AQ227">
        <f t="shared" si="72"/>
        <v>0</v>
      </c>
      <c r="AR227">
        <f t="shared" si="73"/>
        <v>0</v>
      </c>
    </row>
    <row r="228" spans="1:44" x14ac:dyDescent="0.3">
      <c r="A228" s="3"/>
      <c r="B228" s="3"/>
    </row>
    <row r="230" spans="1:44" x14ac:dyDescent="0.3">
      <c r="B230" s="2" t="s">
        <v>464</v>
      </c>
    </row>
    <row r="231" spans="1:44" x14ac:dyDescent="0.3">
      <c r="B231" s="2" t="s">
        <v>465</v>
      </c>
    </row>
  </sheetData>
  <mergeCells count="1">
    <mergeCell ref="M1:O1"/>
  </mergeCells>
  <phoneticPr fontId="3" type="noConversion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C5C23-FFDC-458B-AD24-7787C1E54D3C}">
  <dimension ref="A1:I31"/>
  <sheetViews>
    <sheetView tabSelected="1" workbookViewId="0">
      <selection activeCell="C9" sqref="C9"/>
    </sheetView>
  </sheetViews>
  <sheetFormatPr baseColWidth="10" defaultRowHeight="14.4" x14ac:dyDescent="0.3"/>
  <cols>
    <col min="2" max="2" width="17.88671875" customWidth="1"/>
    <col min="5" max="5" width="13.6640625" customWidth="1"/>
    <col min="9" max="9" width="12.77734375" customWidth="1"/>
  </cols>
  <sheetData>
    <row r="1" spans="1:9" x14ac:dyDescent="0.3">
      <c r="B1" s="17" t="s">
        <v>475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8</v>
      </c>
    </row>
    <row r="2" spans="1:9" x14ac:dyDescent="0.3">
      <c r="A2" t="s">
        <v>474</v>
      </c>
      <c r="B2" s="16"/>
      <c r="C2" s="16"/>
      <c r="D2" s="16"/>
      <c r="E2" s="16"/>
      <c r="F2" s="16"/>
      <c r="G2" s="16"/>
      <c r="H2" s="16"/>
    </row>
    <row r="3" spans="1:9" x14ac:dyDescent="0.3">
      <c r="A3" t="s">
        <v>460</v>
      </c>
      <c r="B3">
        <f>SUMPRODUCT('Übersicht Score Index'!C3:C227,Rezepte!H3:H227)</f>
        <v>26.513488248466501</v>
      </c>
      <c r="C3">
        <f>SUMPRODUCT('Übersicht Score Index'!D3:D227,Rezepte!H3:H227)</f>
        <v>69.876880275456756</v>
      </c>
      <c r="D3">
        <f>SUMPRODUCT('Übersicht Score Index'!E3:E227,Rezepte!H3:H227)</f>
        <v>12.787502405617076</v>
      </c>
      <c r="E3">
        <f>SUMPRODUCT('Übersicht Score Index'!F3:F227,Rezepte!H3:H227)</f>
        <v>4.3237869663149304</v>
      </c>
      <c r="F3">
        <f>SUMPRODUCT('Übersicht Score Index'!G3:G227,Rezepte!H3:H227)</f>
        <v>5.9938326629712115</v>
      </c>
      <c r="G3">
        <f>SUMPRODUCT('Übersicht Score Index'!H3:H227,Rezepte!H3:H227)</f>
        <v>8.4867591507231754</v>
      </c>
      <c r="H3">
        <f>SUMPRODUCT('Übersicht Score Index'!I3:I227,Rezepte!H3:H227)</f>
        <v>3.0581868529116627</v>
      </c>
      <c r="I3" t="s">
        <v>477</v>
      </c>
    </row>
    <row r="4" spans="1:9" x14ac:dyDescent="0.3">
      <c r="A4" t="s">
        <v>466</v>
      </c>
      <c r="B4">
        <f>SUMPRODUCT('Übersicht Score Index'!C3:C227,Rezepte!L3:L227)</f>
        <v>75.684446794633047</v>
      </c>
      <c r="C4">
        <f>SUMPRODUCT('Übersicht Score Index'!D3:D227,Rezepte!L3:L227)</f>
        <v>16.019168548452036</v>
      </c>
      <c r="D4">
        <f>SUMPRODUCT('Übersicht Score Index'!E3:E227,Rezepte!L3:L227)</f>
        <v>38.283996118783264</v>
      </c>
      <c r="E4">
        <f>SUMPRODUCT('Übersicht Score Index'!F3:F227,Rezepte!L3:L227)</f>
        <v>12.276261744260895</v>
      </c>
      <c r="F4">
        <f>SUMPRODUCT('Übersicht Score Index'!G3:G227,Rezepte!L3:L227)</f>
        <v>8.2733422386404669</v>
      </c>
      <c r="G4">
        <f>SUMPRODUCT('Übersicht Score Index'!H3:H227,Rezepte!L3:L227)</f>
        <v>8.2850882889265414</v>
      </c>
      <c r="H4">
        <f>SUMPRODUCT('Übersicht Score Index'!I3:I227,Rezepte!L3:L227)</f>
        <v>0</v>
      </c>
      <c r="I4" t="s">
        <v>475</v>
      </c>
    </row>
    <row r="5" spans="1:9" x14ac:dyDescent="0.3">
      <c r="A5" t="s">
        <v>476</v>
      </c>
      <c r="B5">
        <f>SUMPRODUCT('Übersicht Score Index'!C3:C227,Rezepte!P3:P227)</f>
        <v>18.936389433427287</v>
      </c>
      <c r="C5">
        <f>SUMPRODUCT('Übersicht Score Index'!D3:D227,Rezepte!P3:P227)</f>
        <v>29.52186701524468</v>
      </c>
      <c r="D5">
        <f>SUMPRODUCT('Übersicht Score Index'!E3:E227,Rezepte!P3:P227)</f>
        <v>48.493203250125646</v>
      </c>
      <c r="E5">
        <f>SUMPRODUCT('Übersicht Score Index'!F3:F227,Rezepte!P3:P227)</f>
        <v>245.86370660263913</v>
      </c>
      <c r="F5">
        <f>SUMPRODUCT('Übersicht Score Index'!G3:G227,Rezepte!P3:P227)</f>
        <v>4.0518669805297476</v>
      </c>
      <c r="G5">
        <f>SUMPRODUCT('Übersicht Score Index'!H3:H227,Rezepte!P3:P227)</f>
        <v>5.6381342202814739</v>
      </c>
      <c r="H5">
        <f>SUMPRODUCT('Übersicht Score Index'!I3:I227,Rezepte!P3:P227)</f>
        <v>0</v>
      </c>
      <c r="I5" t="s">
        <v>7</v>
      </c>
    </row>
    <row r="6" spans="1:9" x14ac:dyDescent="0.3">
      <c r="A6" t="s">
        <v>482</v>
      </c>
      <c r="B6">
        <f>SUMPRODUCT('Übersicht Score Index'!C3:C227,Rezepte!T3:T227)</f>
        <v>21.942908103105871</v>
      </c>
      <c r="C6">
        <f>SUMPRODUCT('Übersicht Score Index'!D3:D227,Rezepte!U3:U227)</f>
        <v>1.2395130729951571</v>
      </c>
      <c r="D6">
        <f>SUMPRODUCT('Übersicht Score Index'!E3:E227,Rezepte!T3:T227)</f>
        <v>35.942854617611005</v>
      </c>
      <c r="E6">
        <f>SUMPRODUCT('Übersicht Score Index'!F3:F227,Rezepte!T3:T227)</f>
        <v>12.245673126102716</v>
      </c>
      <c r="F6">
        <f>SUMPRODUCT('Übersicht Score Index'!G3:G227,Rezepte!T3:T227)</f>
        <v>6.4196317966452403</v>
      </c>
      <c r="G6">
        <f>SUMPRODUCT('Übersicht Score Index'!H3:H227,Rezepte!T3:T227)</f>
        <v>7.9065776969256749</v>
      </c>
      <c r="H6">
        <f>SUMPRODUCT('Übersicht Score Index'!I3:I227,Rezepte!T3:T227)</f>
        <v>1.5975998563712687E-3</v>
      </c>
      <c r="I6" t="s">
        <v>483</v>
      </c>
    </row>
    <row r="7" spans="1:9" x14ac:dyDescent="0.3">
      <c r="A7" t="s">
        <v>484</v>
      </c>
      <c r="B7">
        <f>SUMPRODUCT('Übersicht Score Index'!C3:C227,Rezepte!X3:X227)</f>
        <v>20.884938278759144</v>
      </c>
      <c r="C7">
        <f>SUMPRODUCT('Übersicht Score Index'!D3:D227,Rezepte!X3:X227)</f>
        <v>15.008296870810256</v>
      </c>
      <c r="D7">
        <f>SUMPRODUCT('Übersicht Score Index'!E3:E227,Rezepte!X3:X227)</f>
        <v>49.318850710094608</v>
      </c>
      <c r="E7">
        <f>SUMPRODUCT('Übersicht Score Index'!F3:F227,Rezepte!X3:X227)</f>
        <v>17.89864584039891</v>
      </c>
      <c r="F7">
        <f>SUMPRODUCT('Übersicht Score Index'!G3:G227,Rezepte!X3:X227)</f>
        <v>10.824908538382401</v>
      </c>
      <c r="G7">
        <f>SUMPRODUCT('Übersicht Score Index'!H3:H227,Rezepte!X3:X227)</f>
        <v>10.824908538382401</v>
      </c>
      <c r="H7">
        <f>SUMPRODUCT('Übersicht Score Index'!I3:I227,Rezepte!X3:X227)</f>
        <v>0</v>
      </c>
      <c r="I7" t="s">
        <v>483</v>
      </c>
    </row>
    <row r="8" spans="1:9" x14ac:dyDescent="0.3">
      <c r="A8" t="s">
        <v>485</v>
      </c>
      <c r="B8">
        <f>SUMPRODUCT('Übersicht Score Index'!C3:C227,Rezepte!AB3:AB227)</f>
        <v>55.02187130511583</v>
      </c>
      <c r="C8">
        <f>SUMPRODUCT('Übersicht Score Index'!D3:D227,Rezepte!AB3:AB227)</f>
        <v>54.768281331323486</v>
      </c>
      <c r="D8">
        <f>SUMPRODUCT('Übersicht Score Index'!E3:E227,Rezepte!AB3:AB227)</f>
        <v>34.261218989515271</v>
      </c>
      <c r="E8">
        <f>SUMPRODUCT('Übersicht Score Index'!F3:F227,Rezepte!AB3:AB227)</f>
        <v>1.8301772130964311</v>
      </c>
      <c r="F8">
        <f>SUMPRODUCT('Übersicht Score Index'!G3:G227,Rezepte!AB3:AB227)</f>
        <v>6.399465025830934</v>
      </c>
      <c r="G8">
        <f>SUMPRODUCT('Übersicht Score Index'!H3:H227,Rezepte!AB3:AB227)</f>
        <v>6.399465025830934</v>
      </c>
      <c r="H8">
        <f>SUMPRODUCT('Übersicht Score Index'!I3:I227,Rezepte!AB3:AB227)</f>
        <v>18.099460288693358</v>
      </c>
      <c r="I8" t="s">
        <v>475</v>
      </c>
    </row>
    <row r="9" spans="1:9" x14ac:dyDescent="0.3">
      <c r="A9" t="s">
        <v>486</v>
      </c>
      <c r="B9">
        <f>SUMPRODUCT('Übersicht Score Index'!C3:C227,Rezepte!AF3:AF227)</f>
        <v>31.259440860370013</v>
      </c>
      <c r="C9">
        <f>SUMPRODUCT('Übersicht Score Index'!D3:D227,Rezepte!AF3:AF227)</f>
        <v>102.21884031050686</v>
      </c>
      <c r="D9">
        <f>SUMPRODUCT('Übersicht Score Index'!E3:E227,Rezepte!AF3:AF227)</f>
        <v>27.483156852994515</v>
      </c>
      <c r="E9">
        <f>SUMPRODUCT('Übersicht Score Index'!F3:F227,Rezepte!AF3:AF227)</f>
        <v>7.4969773288959587</v>
      </c>
      <c r="F9">
        <f>SUMPRODUCT('Übersicht Score Index'!G3:G227,Rezepte!AF3:AF227)</f>
        <v>7.6484533014252909</v>
      </c>
      <c r="G9">
        <f>SUMPRODUCT('Übersicht Score Index'!H3:H227,Rezepte!AF3:AF227)</f>
        <v>7.6484533014252909</v>
      </c>
      <c r="H9">
        <f>SUMPRODUCT('Übersicht Score Index'!I3:I227,Rezepte!AF3:AF227)</f>
        <v>1.4008551359468369</v>
      </c>
      <c r="I9" t="s">
        <v>2</v>
      </c>
    </row>
    <row r="10" spans="1:9" x14ac:dyDescent="0.3">
      <c r="A10" t="s">
        <v>487</v>
      </c>
      <c r="B10">
        <f>SUMPRODUCT('Übersicht Score Index'!C3:C227,Rezepte!AJ3:AJ227)</f>
        <v>11.901387661830066</v>
      </c>
      <c r="C10">
        <f>SUMPRODUCT('Übersicht Score Index'!D3:D227,Rezepte!AJ3:AJ227)</f>
        <v>22.835766829931824</v>
      </c>
      <c r="D10">
        <f>SUMPRODUCT('Übersicht Score Index'!E3:E227,Rezepte!AJ3:AJ227)</f>
        <v>15.200304754990729</v>
      </c>
      <c r="E10">
        <f>SUMPRODUCT('Übersicht Score Index'!F3:F227,Rezepte!AJ3:AJ227)</f>
        <v>8.0203770636747667</v>
      </c>
      <c r="F10">
        <f>SUMPRODUCT('Übersicht Score Index'!G3:G227,Rezepte!AJ3:AJ227)</f>
        <v>4.0551334501572667</v>
      </c>
      <c r="G10">
        <f>SUMPRODUCT('Übersicht Score Index'!H3:H227,Rezepte!AJ3:AJ227)</f>
        <v>4.0551334501572667</v>
      </c>
      <c r="H10">
        <f>SUMPRODUCT('Übersicht Score Index'!I3:I227,Rezepte!AJ3:AJ227)</f>
        <v>1.4936246607769073</v>
      </c>
      <c r="I10" t="s">
        <v>488</v>
      </c>
    </row>
    <row r="11" spans="1:9" x14ac:dyDescent="0.3">
      <c r="A11" t="s">
        <v>490</v>
      </c>
      <c r="B11">
        <f>SUMPRODUCT('Übersicht Score Index'!C3:C227,Rezepte!AN3:AN227)</f>
        <v>4.8964044929041108</v>
      </c>
      <c r="C11">
        <f>SUMPRODUCT('Übersicht Score Index'!D3:D227,Rezepte!AN3:AN227)</f>
        <v>56.175625781317464</v>
      </c>
      <c r="D11">
        <f>SUMPRODUCT('Übersicht Score Index'!E3:E227,Rezepte!AN3:AN227)</f>
        <v>16.324222834081962</v>
      </c>
      <c r="E11">
        <f>SUMPRODUCT('Übersicht Score Index'!F3:F227,Rezepte!AN3:AN227)</f>
        <v>75.005359431460263</v>
      </c>
      <c r="F11">
        <f>SUMPRODUCT('Übersicht Score Index'!G3:G227,Rezepte!AN3:AN227)</f>
        <v>4.877881824502059</v>
      </c>
      <c r="G11">
        <f>SUMPRODUCT('Übersicht Score Index'!H3:H227,Rezepte!AN3:AN227)</f>
        <v>4.877881824502059</v>
      </c>
      <c r="H11">
        <f>SUMPRODUCT('Übersicht Score Index'!I3:I227,Rezepte!AN3:AN227)</f>
        <v>2.0580742668946861E-3</v>
      </c>
      <c r="I11" t="s">
        <v>4</v>
      </c>
    </row>
    <row r="27" spans="1:9" x14ac:dyDescent="0.3">
      <c r="B27" s="17" t="s">
        <v>475</v>
      </c>
      <c r="C27" s="17" t="s">
        <v>2</v>
      </c>
      <c r="D27" s="17" t="s">
        <v>3</v>
      </c>
      <c r="E27" s="17" t="s">
        <v>4</v>
      </c>
      <c r="F27" s="17" t="s">
        <v>5</v>
      </c>
      <c r="G27" s="17" t="s">
        <v>6</v>
      </c>
      <c r="H27" s="17" t="s">
        <v>8</v>
      </c>
    </row>
    <row r="28" spans="1:9" x14ac:dyDescent="0.3">
      <c r="A28" t="s">
        <v>474</v>
      </c>
      <c r="B28" s="16"/>
      <c r="C28" s="16"/>
      <c r="D28" s="16"/>
      <c r="E28" s="16"/>
      <c r="F28" s="16"/>
      <c r="G28" s="16"/>
      <c r="H28" s="16"/>
    </row>
    <row r="29" spans="1:9" x14ac:dyDescent="0.3">
      <c r="A29" t="s">
        <v>460</v>
      </c>
      <c r="C29">
        <v>0.94100141462477516</v>
      </c>
      <c r="D29">
        <v>0.43996576957334216</v>
      </c>
      <c r="E29">
        <v>0.38168322883738798</v>
      </c>
      <c r="F29">
        <v>0.2594666340662603</v>
      </c>
      <c r="G29">
        <v>0.2594666340662603</v>
      </c>
      <c r="H29">
        <v>4.395466214918179E-2</v>
      </c>
      <c r="I29" t="s">
        <v>477</v>
      </c>
    </row>
    <row r="30" spans="1:9" x14ac:dyDescent="0.3">
      <c r="A30" t="s">
        <v>466</v>
      </c>
      <c r="B30">
        <v>0.83270454545454531</v>
      </c>
      <c r="C30">
        <v>0.45710227272727266</v>
      </c>
      <c r="D30">
        <v>1.8249999999999995E-2</v>
      </c>
      <c r="E30">
        <v>0.47754545454545444</v>
      </c>
      <c r="F30">
        <v>0.2648636363636363</v>
      </c>
      <c r="G30">
        <v>0.12302272727272727</v>
      </c>
      <c r="H30">
        <v>0</v>
      </c>
      <c r="I30" t="s">
        <v>475</v>
      </c>
    </row>
    <row r="31" spans="1:9" x14ac:dyDescent="0.3">
      <c r="A31" t="s">
        <v>476</v>
      </c>
      <c r="B31">
        <v>5.8151884638978898E-2</v>
      </c>
      <c r="C31">
        <v>0.12173139515880968</v>
      </c>
      <c r="D31">
        <v>0.14439724482372115</v>
      </c>
      <c r="E31">
        <v>3.9298670949043657E-2</v>
      </c>
      <c r="F31">
        <v>5.2512542854973213E-2</v>
      </c>
      <c r="G31">
        <v>3.8724763376858158E-2</v>
      </c>
      <c r="H31">
        <v>4.4582819936849177E-2</v>
      </c>
      <c r="I31" t="s">
        <v>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0F628-79FD-4CA3-A731-3A2C04B34DF9}">
  <dimension ref="A1:W228"/>
  <sheetViews>
    <sheetView workbookViewId="0">
      <selection activeCell="C3" sqref="C3"/>
    </sheetView>
  </sheetViews>
  <sheetFormatPr baseColWidth="10" defaultRowHeight="14.4" x14ac:dyDescent="0.3"/>
  <cols>
    <col min="1" max="1" width="13.88671875" style="2" customWidth="1"/>
    <col min="2" max="2" width="41.21875" style="2" customWidth="1"/>
    <col min="3" max="3" width="16.33203125" bestFit="1" customWidth="1"/>
    <col min="4" max="5" width="16.33203125" customWidth="1"/>
  </cols>
  <sheetData>
    <row r="1" spans="1:23" x14ac:dyDescent="0.3">
      <c r="A1" s="1" t="s">
        <v>0</v>
      </c>
      <c r="B1" s="1" t="s">
        <v>1</v>
      </c>
      <c r="C1" s="23" t="s">
        <v>467</v>
      </c>
      <c r="D1" s="24"/>
      <c r="E1" s="25"/>
      <c r="F1" s="23" t="s">
        <v>2</v>
      </c>
      <c r="G1" s="24"/>
      <c r="H1" s="25"/>
      <c r="I1" s="23" t="s">
        <v>3</v>
      </c>
      <c r="J1" s="24"/>
      <c r="K1" s="25"/>
      <c r="L1" s="23" t="s">
        <v>4</v>
      </c>
      <c r="M1" s="24"/>
      <c r="N1" s="25"/>
      <c r="O1" s="23" t="s">
        <v>5</v>
      </c>
      <c r="P1" s="24"/>
      <c r="Q1" s="25"/>
      <c r="R1" s="23" t="s">
        <v>6</v>
      </c>
      <c r="S1" s="24"/>
      <c r="T1" s="25"/>
      <c r="U1" s="23" t="s">
        <v>8</v>
      </c>
      <c r="V1" s="24"/>
      <c r="W1" s="25"/>
    </row>
    <row r="2" spans="1:23" x14ac:dyDescent="0.3">
      <c r="A2" s="1"/>
      <c r="B2" s="1"/>
      <c r="C2" s="16" t="s">
        <v>471</v>
      </c>
      <c r="D2" s="16" t="s">
        <v>472</v>
      </c>
      <c r="E2" s="16" t="s">
        <v>473</v>
      </c>
      <c r="F2" s="16" t="s">
        <v>471</v>
      </c>
      <c r="G2" s="16" t="s">
        <v>472</v>
      </c>
      <c r="H2" s="16" t="s">
        <v>473</v>
      </c>
      <c r="I2" s="16" t="s">
        <v>471</v>
      </c>
      <c r="J2" s="16" t="s">
        <v>472</v>
      </c>
      <c r="K2" s="16" t="s">
        <v>473</v>
      </c>
      <c r="L2" s="16" t="s">
        <v>471</v>
      </c>
      <c r="M2" s="16" t="s">
        <v>472</v>
      </c>
      <c r="N2" s="16" t="s">
        <v>473</v>
      </c>
      <c r="O2" s="16" t="s">
        <v>471</v>
      </c>
      <c r="P2" s="16" t="s">
        <v>472</v>
      </c>
      <c r="Q2" s="16" t="s">
        <v>473</v>
      </c>
      <c r="R2" s="16" t="s">
        <v>471</v>
      </c>
      <c r="S2" s="16" t="s">
        <v>472</v>
      </c>
      <c r="T2" s="16" t="s">
        <v>473</v>
      </c>
      <c r="U2" s="16" t="s">
        <v>471</v>
      </c>
      <c r="V2" s="16" t="s">
        <v>472</v>
      </c>
      <c r="W2" s="16" t="s">
        <v>473</v>
      </c>
    </row>
    <row r="3" spans="1:23" x14ac:dyDescent="0.3">
      <c r="A3" s="3" t="s">
        <v>11</v>
      </c>
      <c r="B3" s="3" t="s">
        <v>12</v>
      </c>
      <c r="C3">
        <f>'Übersicht Score Index'!C3*Rezepte!AP3</f>
        <v>5.239351019053773E-3</v>
      </c>
      <c r="D3">
        <f>'Übersicht Score Index'!C3*Rezepte!AQ3</f>
        <v>1.5718053057161318E-3</v>
      </c>
      <c r="E3">
        <f>'Übersicht Score Index'!C3*Rezepte!AR3</f>
        <v>1.5718053057161318E-3</v>
      </c>
      <c r="F3">
        <f>'Übersicht Score Index'!D3*Rezepte!AP3</f>
        <v>5.239351019053773E-3</v>
      </c>
      <c r="G3">
        <f>'Übersicht Score Index'!D3*Rezepte!AQ3</f>
        <v>1.5718053057161318E-3</v>
      </c>
      <c r="H3">
        <f>'Übersicht Score Index'!D3*Rezepte!AR3</f>
        <v>1.5718053057161318E-3</v>
      </c>
      <c r="I3">
        <f>'Übersicht Score Index'!E3*Rezepte!AP3</f>
        <v>0</v>
      </c>
      <c r="J3">
        <f>'Übersicht Score Index'!E3*Rezepte!AQ3</f>
        <v>0</v>
      </c>
      <c r="K3">
        <f>'Übersicht Score Index'!E3*Rezepte!AR3</f>
        <v>0</v>
      </c>
      <c r="L3">
        <f>'Übersicht Score Index'!F3*Rezepte!AP3</f>
        <v>0</v>
      </c>
      <c r="M3">
        <f>'Übersicht Score Index'!F3*Rezepte!AQ3</f>
        <v>0</v>
      </c>
      <c r="N3">
        <f>'Übersicht Score Index'!F3*Rezepte!AR3</f>
        <v>0</v>
      </c>
      <c r="O3">
        <f>'Übersicht Score Index'!G3*Rezepte!AP3</f>
        <v>0</v>
      </c>
      <c r="P3">
        <f>'Übersicht Score Index'!G3*Rezepte!AQ3</f>
        <v>0</v>
      </c>
      <c r="Q3">
        <f>'Übersicht Score Index'!G3*Rezepte!AR3</f>
        <v>0</v>
      </c>
      <c r="R3">
        <f>'Übersicht Score Index'!H3*Rezepte!AP3</f>
        <v>0</v>
      </c>
      <c r="S3">
        <f>'Übersicht Score Index'!H3*Rezepte!AQ3</f>
        <v>0</v>
      </c>
      <c r="T3">
        <f>'Übersicht Score Index'!H3*Rezepte!AR3</f>
        <v>0</v>
      </c>
      <c r="U3">
        <f>'Übersicht Score Index'!I3*Rezepte!AP3</f>
        <v>5.239351019053773E-3</v>
      </c>
      <c r="V3">
        <f>'Übersicht Score Index'!I3*Rezepte!AQ3</f>
        <v>1.5718053057161318E-3</v>
      </c>
      <c r="W3">
        <f>'Übersicht Score Index'!I3*Rezepte!AR3</f>
        <v>1.5718053057161318E-3</v>
      </c>
    </row>
    <row r="4" spans="1:23" x14ac:dyDescent="0.3">
      <c r="A4" s="2" t="s">
        <v>13</v>
      </c>
      <c r="B4" s="2" t="s">
        <v>14</v>
      </c>
      <c r="C4">
        <f>'Übersicht Score Index'!C4*Rezepte!AP4</f>
        <v>0</v>
      </c>
      <c r="D4">
        <f>'Übersicht Score Index'!C4*Rezepte!AQ4</f>
        <v>0</v>
      </c>
      <c r="E4">
        <f>'Übersicht Score Index'!C4*Rezepte!AR4</f>
        <v>0</v>
      </c>
      <c r="F4">
        <f>'Übersicht Score Index'!D4*Rezepte!AP4</f>
        <v>0</v>
      </c>
      <c r="G4">
        <f>'Übersicht Score Index'!D4*Rezepte!AQ4</f>
        <v>0</v>
      </c>
      <c r="H4">
        <f>'Übersicht Score Index'!D4*Rezepte!AR4</f>
        <v>0</v>
      </c>
      <c r="I4">
        <f>'Übersicht Score Index'!E4*Rezepte!AP4</f>
        <v>0</v>
      </c>
      <c r="J4">
        <f>'Übersicht Score Index'!E4*Rezepte!AQ4</f>
        <v>0</v>
      </c>
      <c r="K4">
        <f>'Übersicht Score Index'!E4*Rezepte!AR4</f>
        <v>0</v>
      </c>
      <c r="L4">
        <f>'Übersicht Score Index'!F4*Rezepte!AP4</f>
        <v>0</v>
      </c>
      <c r="M4">
        <f>'Übersicht Score Index'!F4*Rezepte!AQ4</f>
        <v>0</v>
      </c>
      <c r="N4">
        <f>'Übersicht Score Index'!F4*Rezepte!AR4</f>
        <v>0</v>
      </c>
      <c r="O4">
        <f>'Übersicht Score Index'!G4*Rezepte!AP4</f>
        <v>0</v>
      </c>
      <c r="P4">
        <f>'Übersicht Score Index'!G4*Rezepte!AQ4</f>
        <v>0</v>
      </c>
      <c r="Q4">
        <f>'Übersicht Score Index'!G4*Rezepte!AR4</f>
        <v>0</v>
      </c>
      <c r="R4">
        <f>'Übersicht Score Index'!H4*Rezepte!AP4</f>
        <v>0</v>
      </c>
      <c r="S4">
        <f>'Übersicht Score Index'!H4*Rezepte!AQ4</f>
        <v>0</v>
      </c>
      <c r="T4">
        <f>'Übersicht Score Index'!H4*Rezepte!AR4</f>
        <v>0</v>
      </c>
      <c r="U4">
        <f>'Übersicht Score Index'!I4*Rezepte!AP4</f>
        <v>0</v>
      </c>
      <c r="V4">
        <f>'Übersicht Score Index'!I4*Rezepte!AQ4</f>
        <v>0</v>
      </c>
      <c r="W4">
        <f>'Übersicht Score Index'!I4*Rezepte!AR4</f>
        <v>0</v>
      </c>
    </row>
    <row r="5" spans="1:23" x14ac:dyDescent="0.3">
      <c r="A5" s="2" t="s">
        <v>15</v>
      </c>
      <c r="B5" s="2" t="s">
        <v>16</v>
      </c>
      <c r="C5">
        <f>'Übersicht Score Index'!C5*Rezepte!AP5</f>
        <v>0</v>
      </c>
      <c r="D5">
        <f>'Übersicht Score Index'!C5*Rezepte!AQ5</f>
        <v>0</v>
      </c>
      <c r="E5">
        <f>'Übersicht Score Index'!C5*Rezepte!AR5</f>
        <v>0</v>
      </c>
      <c r="F5">
        <f>'Übersicht Score Index'!D5*Rezepte!AP5</f>
        <v>0</v>
      </c>
      <c r="G5">
        <f>'Übersicht Score Index'!D5*Rezepte!AQ5</f>
        <v>0</v>
      </c>
      <c r="H5">
        <f>'Übersicht Score Index'!D5*Rezepte!AR5</f>
        <v>0</v>
      </c>
      <c r="I5">
        <f>'Übersicht Score Index'!E5*Rezepte!AP5</f>
        <v>0</v>
      </c>
      <c r="J5">
        <f>'Übersicht Score Index'!E5*Rezepte!AQ5</f>
        <v>0</v>
      </c>
      <c r="K5">
        <f>'Übersicht Score Index'!E5*Rezepte!AR5</f>
        <v>0</v>
      </c>
      <c r="L5">
        <f>'Übersicht Score Index'!F5*Rezepte!AP5</f>
        <v>0</v>
      </c>
      <c r="M5">
        <f>'Übersicht Score Index'!F5*Rezepte!AQ5</f>
        <v>0</v>
      </c>
      <c r="N5">
        <f>'Übersicht Score Index'!F5*Rezepte!AR5</f>
        <v>0</v>
      </c>
      <c r="O5">
        <f>'Übersicht Score Index'!G5*Rezepte!AP5</f>
        <v>0</v>
      </c>
      <c r="P5">
        <f>'Übersicht Score Index'!G5*Rezepte!AQ5</f>
        <v>0</v>
      </c>
      <c r="Q5">
        <f>'Übersicht Score Index'!G5*Rezepte!AR5</f>
        <v>0</v>
      </c>
      <c r="R5">
        <f>'Übersicht Score Index'!H5*Rezepte!AP5</f>
        <v>0</v>
      </c>
      <c r="S5">
        <f>'Übersicht Score Index'!H5*Rezepte!AQ5</f>
        <v>0</v>
      </c>
      <c r="T5">
        <f>'Übersicht Score Index'!H5*Rezepte!AR5</f>
        <v>0</v>
      </c>
      <c r="U5">
        <f>'Übersicht Score Index'!I5*Rezepte!AP5</f>
        <v>0</v>
      </c>
      <c r="V5">
        <f>'Übersicht Score Index'!I5*Rezepte!AQ5</f>
        <v>0</v>
      </c>
      <c r="W5">
        <f>'Übersicht Score Index'!I5*Rezepte!AR5</f>
        <v>0</v>
      </c>
    </row>
    <row r="6" spans="1:23" x14ac:dyDescent="0.3">
      <c r="A6" s="2" t="s">
        <v>17</v>
      </c>
      <c r="B6" s="2" t="s">
        <v>18</v>
      </c>
      <c r="C6">
        <f>'Übersicht Score Index'!C6*Rezepte!AP6</f>
        <v>0</v>
      </c>
      <c r="D6">
        <f>'Übersicht Score Index'!C6*Rezepte!AQ6</f>
        <v>0</v>
      </c>
      <c r="E6">
        <f>'Übersicht Score Index'!C6*Rezepte!AR6</f>
        <v>0</v>
      </c>
      <c r="F6">
        <f>'Übersicht Score Index'!D6*Rezepte!AP6</f>
        <v>0</v>
      </c>
      <c r="G6">
        <f>'Übersicht Score Index'!D6*Rezepte!AQ6</f>
        <v>0</v>
      </c>
      <c r="H6">
        <f>'Übersicht Score Index'!D6*Rezepte!AR6</f>
        <v>0</v>
      </c>
      <c r="I6">
        <f>'Übersicht Score Index'!E6*Rezepte!AP6</f>
        <v>0</v>
      </c>
      <c r="J6">
        <f>'Übersicht Score Index'!E6*Rezepte!AQ6</f>
        <v>0</v>
      </c>
      <c r="K6">
        <f>'Übersicht Score Index'!E6*Rezepte!AR6</f>
        <v>0</v>
      </c>
      <c r="L6">
        <f>'Übersicht Score Index'!F6*Rezepte!AP6</f>
        <v>0</v>
      </c>
      <c r="M6">
        <f>'Übersicht Score Index'!F6*Rezepte!AQ6</f>
        <v>0</v>
      </c>
      <c r="N6">
        <f>'Übersicht Score Index'!F6*Rezepte!AR6</f>
        <v>0</v>
      </c>
      <c r="O6">
        <f>'Übersicht Score Index'!G6*Rezepte!AP6</f>
        <v>0</v>
      </c>
      <c r="P6">
        <f>'Übersicht Score Index'!G6*Rezepte!AQ6</f>
        <v>0</v>
      </c>
      <c r="Q6">
        <f>'Übersicht Score Index'!G6*Rezepte!AR6</f>
        <v>0</v>
      </c>
      <c r="R6">
        <f>'Übersicht Score Index'!H6*Rezepte!AP6</f>
        <v>0</v>
      </c>
      <c r="S6">
        <f>'Übersicht Score Index'!H6*Rezepte!AQ6</f>
        <v>0</v>
      </c>
      <c r="T6">
        <f>'Übersicht Score Index'!H6*Rezepte!AR6</f>
        <v>0</v>
      </c>
      <c r="U6">
        <f>'Übersicht Score Index'!I6*Rezepte!AP6</f>
        <v>0</v>
      </c>
      <c r="V6">
        <f>'Übersicht Score Index'!I6*Rezepte!AQ6</f>
        <v>0</v>
      </c>
      <c r="W6">
        <f>'Übersicht Score Index'!I6*Rezepte!AR6</f>
        <v>0</v>
      </c>
    </row>
    <row r="7" spans="1:23" x14ac:dyDescent="0.3">
      <c r="A7" s="2" t="s">
        <v>19</v>
      </c>
      <c r="B7" s="2" t="s">
        <v>20</v>
      </c>
      <c r="C7">
        <f>'Übersicht Score Index'!C7*Rezepte!AP7</f>
        <v>0</v>
      </c>
      <c r="D7">
        <f>'Übersicht Score Index'!C7*Rezepte!AQ7</f>
        <v>0</v>
      </c>
      <c r="E7">
        <f>'Übersicht Score Index'!C7*Rezepte!AR7</f>
        <v>0</v>
      </c>
      <c r="F7">
        <f>'Übersicht Score Index'!D7*Rezepte!AP7</f>
        <v>0</v>
      </c>
      <c r="G7">
        <f>'Übersicht Score Index'!D7*Rezepte!AQ7</f>
        <v>0</v>
      </c>
      <c r="H7">
        <f>'Übersicht Score Index'!D7*Rezepte!AR7</f>
        <v>0</v>
      </c>
      <c r="I7">
        <f>'Übersicht Score Index'!E7*Rezepte!AP7</f>
        <v>0</v>
      </c>
      <c r="J7">
        <f>'Übersicht Score Index'!E7*Rezepte!AQ7</f>
        <v>0</v>
      </c>
      <c r="K7">
        <f>'Übersicht Score Index'!E7*Rezepte!AR7</f>
        <v>0</v>
      </c>
      <c r="L7">
        <f>'Übersicht Score Index'!F7*Rezepte!AP7</f>
        <v>0</v>
      </c>
      <c r="M7">
        <f>'Übersicht Score Index'!F7*Rezepte!AQ7</f>
        <v>0</v>
      </c>
      <c r="N7">
        <f>'Übersicht Score Index'!F7*Rezepte!AR7</f>
        <v>0</v>
      </c>
      <c r="O7">
        <f>'Übersicht Score Index'!G7*Rezepte!AP7</f>
        <v>0</v>
      </c>
      <c r="P7">
        <f>'Übersicht Score Index'!G7*Rezepte!AQ7</f>
        <v>0</v>
      </c>
      <c r="Q7">
        <f>'Übersicht Score Index'!G7*Rezepte!AR7</f>
        <v>0</v>
      </c>
      <c r="R7">
        <f>'Übersicht Score Index'!H7*Rezepte!AP7</f>
        <v>0</v>
      </c>
      <c r="S7">
        <f>'Übersicht Score Index'!H7*Rezepte!AQ7</f>
        <v>0</v>
      </c>
      <c r="T7">
        <f>'Übersicht Score Index'!H7*Rezepte!AR7</f>
        <v>0</v>
      </c>
      <c r="U7">
        <f>'Übersicht Score Index'!I7*Rezepte!AP7</f>
        <v>0</v>
      </c>
      <c r="V7">
        <f>'Übersicht Score Index'!I7*Rezepte!AQ7</f>
        <v>0</v>
      </c>
      <c r="W7">
        <f>'Übersicht Score Index'!I7*Rezepte!AR7</f>
        <v>0</v>
      </c>
    </row>
    <row r="8" spans="1:23" x14ac:dyDescent="0.3">
      <c r="A8" s="2" t="s">
        <v>21</v>
      </c>
      <c r="B8" s="2" t="s">
        <v>22</v>
      </c>
      <c r="C8">
        <f>'Übersicht Score Index'!C8*Rezepte!AP8</f>
        <v>0</v>
      </c>
      <c r="D8">
        <f>'Übersicht Score Index'!C8*Rezepte!AQ8</f>
        <v>0</v>
      </c>
      <c r="E8">
        <f>'Übersicht Score Index'!C8*Rezepte!AR8</f>
        <v>0</v>
      </c>
      <c r="F8">
        <f>'Übersicht Score Index'!D8*Rezepte!AP8</f>
        <v>0</v>
      </c>
      <c r="G8">
        <f>'Übersicht Score Index'!D8*Rezepte!AQ8</f>
        <v>0</v>
      </c>
      <c r="H8">
        <f>'Übersicht Score Index'!D8*Rezepte!AR8</f>
        <v>0</v>
      </c>
      <c r="I8">
        <f>'Übersicht Score Index'!E8*Rezepte!AP8</f>
        <v>0</v>
      </c>
      <c r="J8">
        <f>'Übersicht Score Index'!E8*Rezepte!AQ8</f>
        <v>0</v>
      </c>
      <c r="K8">
        <f>'Übersicht Score Index'!E8*Rezepte!AR8</f>
        <v>0</v>
      </c>
      <c r="L8">
        <f>'Übersicht Score Index'!F8*Rezepte!AP8</f>
        <v>0</v>
      </c>
      <c r="M8">
        <f>'Übersicht Score Index'!F8*Rezepte!AQ8</f>
        <v>0</v>
      </c>
      <c r="N8">
        <f>'Übersicht Score Index'!F8*Rezepte!AR8</f>
        <v>0</v>
      </c>
      <c r="O8">
        <f>'Übersicht Score Index'!G8*Rezepte!AP8</f>
        <v>0</v>
      </c>
      <c r="P8">
        <f>'Übersicht Score Index'!G8*Rezepte!AQ8</f>
        <v>0</v>
      </c>
      <c r="Q8">
        <f>'Übersicht Score Index'!G8*Rezepte!AR8</f>
        <v>0</v>
      </c>
      <c r="R8">
        <f>'Übersicht Score Index'!H8*Rezepte!AP8</f>
        <v>0</v>
      </c>
      <c r="S8">
        <f>'Übersicht Score Index'!H8*Rezepte!AQ8</f>
        <v>0</v>
      </c>
      <c r="T8">
        <f>'Übersicht Score Index'!H8*Rezepte!AR8</f>
        <v>0</v>
      </c>
      <c r="U8">
        <f>'Übersicht Score Index'!I8*Rezepte!AP8</f>
        <v>0</v>
      </c>
      <c r="V8">
        <f>'Übersicht Score Index'!I8*Rezepte!AQ8</f>
        <v>0</v>
      </c>
      <c r="W8">
        <f>'Übersicht Score Index'!I8*Rezepte!AR8</f>
        <v>0</v>
      </c>
    </row>
    <row r="9" spans="1:23" x14ac:dyDescent="0.3">
      <c r="A9" s="2" t="s">
        <v>23</v>
      </c>
      <c r="B9" s="2" t="s">
        <v>24</v>
      </c>
      <c r="C9">
        <f>'Übersicht Score Index'!C9*Rezepte!AP9</f>
        <v>0.36250576447688254</v>
      </c>
      <c r="D9">
        <f>'Übersicht Score Index'!C9*Rezepte!AQ9</f>
        <v>0.18125288223844127</v>
      </c>
      <c r="E9">
        <f>'Übersicht Score Index'!C9*Rezepte!AR9</f>
        <v>0.18125288223844127</v>
      </c>
      <c r="F9">
        <f>'Übersicht Score Index'!D9*Rezepte!AP9</f>
        <v>0.36250576447688254</v>
      </c>
      <c r="G9">
        <f>'Übersicht Score Index'!D9*Rezepte!AQ9</f>
        <v>0.18125288223844127</v>
      </c>
      <c r="H9">
        <f>'Übersicht Score Index'!D9*Rezepte!AR9</f>
        <v>0.18125288223844127</v>
      </c>
      <c r="I9">
        <f>'Übersicht Score Index'!E9*Rezepte!AP9</f>
        <v>0</v>
      </c>
      <c r="J9">
        <f>'Übersicht Score Index'!E9*Rezepte!AQ9</f>
        <v>0</v>
      </c>
      <c r="K9">
        <f>'Übersicht Score Index'!E9*Rezepte!AR9</f>
        <v>0</v>
      </c>
      <c r="L9">
        <f>'Übersicht Score Index'!F9*Rezepte!AP9</f>
        <v>0</v>
      </c>
      <c r="M9">
        <f>'Übersicht Score Index'!F9*Rezepte!AQ9</f>
        <v>0</v>
      </c>
      <c r="N9">
        <f>'Übersicht Score Index'!F9*Rezepte!AR9</f>
        <v>0</v>
      </c>
      <c r="O9">
        <f>'Übersicht Score Index'!G9*Rezepte!AP9</f>
        <v>0.36250576447688254</v>
      </c>
      <c r="P9">
        <f>'Übersicht Score Index'!G9*Rezepte!AQ9</f>
        <v>0.18125288223844127</v>
      </c>
      <c r="Q9">
        <f>'Übersicht Score Index'!G9*Rezepte!AR9</f>
        <v>0.18125288223844127</v>
      </c>
      <c r="R9">
        <f>'Übersicht Score Index'!H9*Rezepte!AP9</f>
        <v>0.36250576447688254</v>
      </c>
      <c r="S9">
        <f>'Übersicht Score Index'!H9*Rezepte!AQ9</f>
        <v>0.18125288223844127</v>
      </c>
      <c r="T9">
        <f>'Übersicht Score Index'!H9*Rezepte!AR9</f>
        <v>0.18125288223844127</v>
      </c>
      <c r="U9">
        <f>'Übersicht Score Index'!I9*Rezepte!AP9</f>
        <v>0</v>
      </c>
      <c r="V9">
        <f>'Übersicht Score Index'!I9*Rezepte!AQ9</f>
        <v>0</v>
      </c>
      <c r="W9">
        <f>'Übersicht Score Index'!I9*Rezepte!AR9</f>
        <v>0</v>
      </c>
    </row>
    <row r="10" spans="1:23" x14ac:dyDescent="0.3">
      <c r="A10" s="2" t="s">
        <v>25</v>
      </c>
      <c r="B10" s="2" t="s">
        <v>26</v>
      </c>
      <c r="C10">
        <f>'Übersicht Score Index'!C10*Rezepte!AP10</f>
        <v>0</v>
      </c>
      <c r="D10">
        <f>'Übersicht Score Index'!C10*Rezepte!AQ10</f>
        <v>0</v>
      </c>
      <c r="E10">
        <f>'Übersicht Score Index'!C10*Rezepte!AR10</f>
        <v>0</v>
      </c>
      <c r="F10">
        <f>'Übersicht Score Index'!D10*Rezepte!AP10</f>
        <v>0</v>
      </c>
      <c r="G10">
        <f>'Übersicht Score Index'!D10*Rezepte!AQ10</f>
        <v>0</v>
      </c>
      <c r="H10">
        <f>'Übersicht Score Index'!D10*Rezepte!AR10</f>
        <v>0</v>
      </c>
      <c r="I10">
        <f>'Übersicht Score Index'!E10*Rezepte!AP10</f>
        <v>0</v>
      </c>
      <c r="J10">
        <f>'Übersicht Score Index'!E10*Rezepte!AQ10</f>
        <v>0</v>
      </c>
      <c r="K10">
        <f>'Übersicht Score Index'!E10*Rezepte!AR10</f>
        <v>0</v>
      </c>
      <c r="L10">
        <f>'Übersicht Score Index'!F10*Rezepte!AP10</f>
        <v>0</v>
      </c>
      <c r="M10">
        <f>'Übersicht Score Index'!F10*Rezepte!AQ10</f>
        <v>0</v>
      </c>
      <c r="N10">
        <f>'Übersicht Score Index'!F10*Rezepte!AR10</f>
        <v>0</v>
      </c>
      <c r="O10">
        <f>'Übersicht Score Index'!G10*Rezepte!AP10</f>
        <v>0</v>
      </c>
      <c r="P10">
        <f>'Übersicht Score Index'!G10*Rezepte!AQ10</f>
        <v>0</v>
      </c>
      <c r="Q10">
        <f>'Übersicht Score Index'!G10*Rezepte!AR10</f>
        <v>0</v>
      </c>
      <c r="R10">
        <f>'Übersicht Score Index'!H10*Rezepte!AP10</f>
        <v>0</v>
      </c>
      <c r="S10">
        <f>'Übersicht Score Index'!H10*Rezepte!AQ10</f>
        <v>0</v>
      </c>
      <c r="T10">
        <f>'Übersicht Score Index'!H10*Rezepte!AR10</f>
        <v>0</v>
      </c>
      <c r="U10">
        <f>'Übersicht Score Index'!I10*Rezepte!AP10</f>
        <v>0</v>
      </c>
      <c r="V10">
        <f>'Übersicht Score Index'!I10*Rezepte!AQ10</f>
        <v>0</v>
      </c>
      <c r="W10">
        <f>'Übersicht Score Index'!I10*Rezepte!AR10</f>
        <v>0</v>
      </c>
    </row>
    <row r="11" spans="1:23" x14ac:dyDescent="0.3">
      <c r="A11" s="2" t="s">
        <v>27</v>
      </c>
      <c r="B11" s="2" t="s">
        <v>28</v>
      </c>
      <c r="C11">
        <f>'Übersicht Score Index'!C11*Rezepte!AP11</f>
        <v>0</v>
      </c>
      <c r="D11">
        <f>'Übersicht Score Index'!C11*Rezepte!AQ11</f>
        <v>0</v>
      </c>
      <c r="E11">
        <f>'Übersicht Score Index'!C11*Rezepte!AR11</f>
        <v>0</v>
      </c>
      <c r="F11">
        <f>'Übersicht Score Index'!D11*Rezepte!AP11</f>
        <v>0</v>
      </c>
      <c r="G11">
        <f>'Übersicht Score Index'!D11*Rezepte!AQ11</f>
        <v>0</v>
      </c>
      <c r="H11">
        <f>'Übersicht Score Index'!D11*Rezepte!AR11</f>
        <v>0</v>
      </c>
      <c r="I11">
        <f>'Übersicht Score Index'!E11*Rezepte!AP11</f>
        <v>0</v>
      </c>
      <c r="J11">
        <f>'Übersicht Score Index'!E11*Rezepte!AQ11</f>
        <v>0</v>
      </c>
      <c r="K11">
        <f>'Übersicht Score Index'!E11*Rezepte!AR11</f>
        <v>0</v>
      </c>
      <c r="L11">
        <f>'Übersicht Score Index'!F11*Rezepte!AP11</f>
        <v>0</v>
      </c>
      <c r="M11">
        <f>'Übersicht Score Index'!F11*Rezepte!AQ11</f>
        <v>0</v>
      </c>
      <c r="N11">
        <f>'Übersicht Score Index'!F11*Rezepte!AR11</f>
        <v>0</v>
      </c>
      <c r="O11">
        <f>'Übersicht Score Index'!G11*Rezepte!AP11</f>
        <v>0</v>
      </c>
      <c r="P11">
        <f>'Übersicht Score Index'!G11*Rezepte!AQ11</f>
        <v>0</v>
      </c>
      <c r="Q11">
        <f>'Übersicht Score Index'!G11*Rezepte!AR11</f>
        <v>0</v>
      </c>
      <c r="R11">
        <f>'Übersicht Score Index'!H11*Rezepte!AP11</f>
        <v>0</v>
      </c>
      <c r="S11">
        <f>'Übersicht Score Index'!H11*Rezepte!AQ11</f>
        <v>0</v>
      </c>
      <c r="T11">
        <f>'Übersicht Score Index'!H11*Rezepte!AR11</f>
        <v>0</v>
      </c>
      <c r="U11">
        <f>'Übersicht Score Index'!I11*Rezepte!AP11</f>
        <v>0</v>
      </c>
      <c r="V11">
        <f>'Übersicht Score Index'!I11*Rezepte!AQ11</f>
        <v>0</v>
      </c>
      <c r="W11">
        <f>'Übersicht Score Index'!I11*Rezepte!AR11</f>
        <v>0</v>
      </c>
    </row>
    <row r="12" spans="1:23" x14ac:dyDescent="0.3">
      <c r="A12" s="2" t="s">
        <v>29</v>
      </c>
      <c r="B12" s="2" t="s">
        <v>30</v>
      </c>
      <c r="C12">
        <f>'Übersicht Score Index'!C12*Rezepte!AP12</f>
        <v>0</v>
      </c>
      <c r="D12">
        <f>'Übersicht Score Index'!C12*Rezepte!AQ12</f>
        <v>0</v>
      </c>
      <c r="E12">
        <f>'Übersicht Score Index'!C12*Rezepte!AR12</f>
        <v>0</v>
      </c>
      <c r="F12">
        <f>'Übersicht Score Index'!D12*Rezepte!AP12</f>
        <v>0</v>
      </c>
      <c r="G12">
        <f>'Übersicht Score Index'!D12*Rezepte!AQ12</f>
        <v>0</v>
      </c>
      <c r="H12">
        <f>'Übersicht Score Index'!D12*Rezepte!AR12</f>
        <v>0</v>
      </c>
      <c r="I12">
        <f>'Übersicht Score Index'!E12*Rezepte!AP12</f>
        <v>0</v>
      </c>
      <c r="J12">
        <f>'Übersicht Score Index'!E12*Rezepte!AQ12</f>
        <v>0</v>
      </c>
      <c r="K12">
        <f>'Übersicht Score Index'!E12*Rezepte!AR12</f>
        <v>0</v>
      </c>
      <c r="L12">
        <f>'Übersicht Score Index'!F12*Rezepte!AP12</f>
        <v>0</v>
      </c>
      <c r="M12">
        <f>'Übersicht Score Index'!F12*Rezepte!AQ12</f>
        <v>0</v>
      </c>
      <c r="N12">
        <f>'Übersicht Score Index'!F12*Rezepte!AR12</f>
        <v>0</v>
      </c>
      <c r="O12">
        <f>'Übersicht Score Index'!G12*Rezepte!AP12</f>
        <v>0</v>
      </c>
      <c r="P12">
        <f>'Übersicht Score Index'!G12*Rezepte!AQ12</f>
        <v>0</v>
      </c>
      <c r="Q12">
        <f>'Übersicht Score Index'!G12*Rezepte!AR12</f>
        <v>0</v>
      </c>
      <c r="R12">
        <f>'Übersicht Score Index'!H12*Rezepte!AP12</f>
        <v>0</v>
      </c>
      <c r="S12">
        <f>'Übersicht Score Index'!H12*Rezepte!AQ12</f>
        <v>0</v>
      </c>
      <c r="T12">
        <f>'Übersicht Score Index'!H12*Rezepte!AR12</f>
        <v>0</v>
      </c>
      <c r="U12">
        <f>'Übersicht Score Index'!I12*Rezepte!AP12</f>
        <v>0</v>
      </c>
      <c r="V12">
        <f>'Übersicht Score Index'!I12*Rezepte!AQ12</f>
        <v>0</v>
      </c>
      <c r="W12">
        <f>'Übersicht Score Index'!I12*Rezepte!AR12</f>
        <v>0</v>
      </c>
    </row>
    <row r="13" spans="1:23" x14ac:dyDescent="0.3">
      <c r="A13" s="2" t="s">
        <v>31</v>
      </c>
      <c r="B13" s="2" t="s">
        <v>32</v>
      </c>
      <c r="C13">
        <f>'Übersicht Score Index'!C13*Rezepte!AP13</f>
        <v>0</v>
      </c>
      <c r="D13">
        <f>'Übersicht Score Index'!C13*Rezepte!AQ13</f>
        <v>0</v>
      </c>
      <c r="E13">
        <f>'Übersicht Score Index'!C13*Rezepte!AR13</f>
        <v>0</v>
      </c>
      <c r="F13">
        <f>'Übersicht Score Index'!D13*Rezepte!AP13</f>
        <v>0</v>
      </c>
      <c r="G13">
        <f>'Übersicht Score Index'!D13*Rezepte!AQ13</f>
        <v>0</v>
      </c>
      <c r="H13">
        <f>'Übersicht Score Index'!D13*Rezepte!AR13</f>
        <v>0</v>
      </c>
      <c r="I13">
        <f>'Übersicht Score Index'!E13*Rezepte!AP13</f>
        <v>0</v>
      </c>
      <c r="J13">
        <f>'Übersicht Score Index'!E13*Rezepte!AQ13</f>
        <v>0</v>
      </c>
      <c r="K13">
        <f>'Übersicht Score Index'!E13*Rezepte!AR13</f>
        <v>0</v>
      </c>
      <c r="L13">
        <f>'Übersicht Score Index'!F13*Rezepte!AP13</f>
        <v>0</v>
      </c>
      <c r="M13">
        <f>'Übersicht Score Index'!F13*Rezepte!AQ13</f>
        <v>0</v>
      </c>
      <c r="N13">
        <f>'Übersicht Score Index'!F13*Rezepte!AR13</f>
        <v>0</v>
      </c>
      <c r="O13">
        <f>'Übersicht Score Index'!G13*Rezepte!AP13</f>
        <v>0</v>
      </c>
      <c r="P13">
        <f>'Übersicht Score Index'!G13*Rezepte!AQ13</f>
        <v>0</v>
      </c>
      <c r="Q13">
        <f>'Übersicht Score Index'!G13*Rezepte!AR13</f>
        <v>0</v>
      </c>
      <c r="R13">
        <f>'Übersicht Score Index'!H13*Rezepte!AP13</f>
        <v>0</v>
      </c>
      <c r="S13">
        <f>'Übersicht Score Index'!H13*Rezepte!AQ13</f>
        <v>0</v>
      </c>
      <c r="T13">
        <f>'Übersicht Score Index'!H13*Rezepte!AR13</f>
        <v>0</v>
      </c>
      <c r="U13">
        <f>'Übersicht Score Index'!I13*Rezepte!AP13</f>
        <v>0</v>
      </c>
      <c r="V13">
        <f>'Übersicht Score Index'!I13*Rezepte!AQ13</f>
        <v>0</v>
      </c>
      <c r="W13">
        <f>'Übersicht Score Index'!I13*Rezepte!AR13</f>
        <v>0</v>
      </c>
    </row>
    <row r="14" spans="1:23" x14ac:dyDescent="0.3">
      <c r="A14" s="2" t="s">
        <v>33</v>
      </c>
      <c r="B14" s="2" t="s">
        <v>34</v>
      </c>
      <c r="C14">
        <f>'Übersicht Score Index'!C14*Rezepte!AP14</f>
        <v>0</v>
      </c>
      <c r="D14">
        <f>'Übersicht Score Index'!C14*Rezepte!AQ14</f>
        <v>0</v>
      </c>
      <c r="E14">
        <f>'Übersicht Score Index'!C14*Rezepte!AR14</f>
        <v>0</v>
      </c>
      <c r="F14">
        <f>'Übersicht Score Index'!D14*Rezepte!AP14</f>
        <v>0</v>
      </c>
      <c r="G14">
        <f>'Übersicht Score Index'!D14*Rezepte!AQ14</f>
        <v>0</v>
      </c>
      <c r="H14">
        <f>'Übersicht Score Index'!D14*Rezepte!AR14</f>
        <v>0</v>
      </c>
      <c r="I14">
        <f>'Übersicht Score Index'!E14*Rezepte!AP14</f>
        <v>0</v>
      </c>
      <c r="J14">
        <f>'Übersicht Score Index'!E14*Rezepte!AQ14</f>
        <v>0</v>
      </c>
      <c r="K14">
        <f>'Übersicht Score Index'!E14*Rezepte!AR14</f>
        <v>0</v>
      </c>
      <c r="L14">
        <f>'Übersicht Score Index'!F14*Rezepte!AP14</f>
        <v>0</v>
      </c>
      <c r="M14">
        <f>'Übersicht Score Index'!F14*Rezepte!AQ14</f>
        <v>0</v>
      </c>
      <c r="N14">
        <f>'Übersicht Score Index'!F14*Rezepte!AR14</f>
        <v>0</v>
      </c>
      <c r="O14">
        <f>'Übersicht Score Index'!G14*Rezepte!AP14</f>
        <v>0</v>
      </c>
      <c r="P14">
        <f>'Übersicht Score Index'!G14*Rezepte!AQ14</f>
        <v>0</v>
      </c>
      <c r="Q14">
        <f>'Übersicht Score Index'!G14*Rezepte!AR14</f>
        <v>0</v>
      </c>
      <c r="R14">
        <f>'Übersicht Score Index'!H14*Rezepte!AP14</f>
        <v>0</v>
      </c>
      <c r="S14">
        <f>'Übersicht Score Index'!H14*Rezepte!AQ14</f>
        <v>0</v>
      </c>
      <c r="T14">
        <f>'Übersicht Score Index'!H14*Rezepte!AR14</f>
        <v>0</v>
      </c>
      <c r="U14">
        <f>'Übersicht Score Index'!I14*Rezepte!AP14</f>
        <v>0</v>
      </c>
      <c r="V14">
        <f>'Übersicht Score Index'!I14*Rezepte!AQ14</f>
        <v>0</v>
      </c>
      <c r="W14">
        <f>'Übersicht Score Index'!I14*Rezepte!AR14</f>
        <v>0</v>
      </c>
    </row>
    <row r="15" spans="1:23" x14ac:dyDescent="0.3">
      <c r="A15" s="2" t="s">
        <v>35</v>
      </c>
      <c r="B15" s="2" t="s">
        <v>36</v>
      </c>
      <c r="C15">
        <f>'Übersicht Score Index'!C15*Rezepte!AP15</f>
        <v>0</v>
      </c>
      <c r="D15">
        <f>'Übersicht Score Index'!C15*Rezepte!AQ15</f>
        <v>0</v>
      </c>
      <c r="E15">
        <f>'Übersicht Score Index'!C15*Rezepte!AR15</f>
        <v>0</v>
      </c>
      <c r="F15">
        <f>'Übersicht Score Index'!D15*Rezepte!AP15</f>
        <v>0</v>
      </c>
      <c r="G15">
        <f>'Übersicht Score Index'!D15*Rezepte!AQ15</f>
        <v>0</v>
      </c>
      <c r="H15">
        <f>'Übersicht Score Index'!D15*Rezepte!AR15</f>
        <v>0</v>
      </c>
      <c r="I15">
        <f>'Übersicht Score Index'!E15*Rezepte!AP15</f>
        <v>0</v>
      </c>
      <c r="J15">
        <f>'Übersicht Score Index'!E15*Rezepte!AQ15</f>
        <v>0</v>
      </c>
      <c r="K15">
        <f>'Übersicht Score Index'!E15*Rezepte!AR15</f>
        <v>0</v>
      </c>
      <c r="L15">
        <f>'Übersicht Score Index'!F15*Rezepte!AP15</f>
        <v>0</v>
      </c>
      <c r="M15">
        <f>'Übersicht Score Index'!F15*Rezepte!AQ15</f>
        <v>0</v>
      </c>
      <c r="N15">
        <f>'Übersicht Score Index'!F15*Rezepte!AR15</f>
        <v>0</v>
      </c>
      <c r="O15">
        <f>'Übersicht Score Index'!G15*Rezepte!AP15</f>
        <v>0</v>
      </c>
      <c r="P15">
        <f>'Übersicht Score Index'!G15*Rezepte!AQ15</f>
        <v>0</v>
      </c>
      <c r="Q15">
        <f>'Übersicht Score Index'!G15*Rezepte!AR15</f>
        <v>0</v>
      </c>
      <c r="R15">
        <f>'Übersicht Score Index'!H15*Rezepte!AP15</f>
        <v>0</v>
      </c>
      <c r="S15">
        <f>'Übersicht Score Index'!H15*Rezepte!AQ15</f>
        <v>0</v>
      </c>
      <c r="T15">
        <f>'Übersicht Score Index'!H15*Rezepte!AR15</f>
        <v>0</v>
      </c>
      <c r="U15">
        <f>'Übersicht Score Index'!I15*Rezepte!AP15</f>
        <v>0</v>
      </c>
      <c r="V15">
        <f>'Übersicht Score Index'!I15*Rezepte!AQ15</f>
        <v>0</v>
      </c>
      <c r="W15">
        <f>'Übersicht Score Index'!I15*Rezepte!AR15</f>
        <v>0</v>
      </c>
    </row>
    <row r="16" spans="1:23" x14ac:dyDescent="0.3">
      <c r="A16" s="2" t="s">
        <v>37</v>
      </c>
      <c r="B16" s="2" t="s">
        <v>38</v>
      </c>
      <c r="C16">
        <f>'Übersicht Score Index'!C16*Rezepte!AP16</f>
        <v>0</v>
      </c>
      <c r="D16">
        <f>'Übersicht Score Index'!C16*Rezepte!AQ16</f>
        <v>0</v>
      </c>
      <c r="E16">
        <f>'Übersicht Score Index'!C16*Rezepte!AR16</f>
        <v>0</v>
      </c>
      <c r="F16">
        <f>'Übersicht Score Index'!D16*Rezepte!AP16</f>
        <v>0</v>
      </c>
      <c r="G16">
        <f>'Übersicht Score Index'!D16*Rezepte!AQ16</f>
        <v>0</v>
      </c>
      <c r="H16">
        <f>'Übersicht Score Index'!D16*Rezepte!AR16</f>
        <v>0</v>
      </c>
      <c r="I16">
        <f>'Übersicht Score Index'!E16*Rezepte!AP16</f>
        <v>0</v>
      </c>
      <c r="J16">
        <f>'Übersicht Score Index'!E16*Rezepte!AQ16</f>
        <v>0</v>
      </c>
      <c r="K16">
        <f>'Übersicht Score Index'!E16*Rezepte!AR16</f>
        <v>0</v>
      </c>
      <c r="L16">
        <f>'Übersicht Score Index'!F16*Rezepte!AP16</f>
        <v>0</v>
      </c>
      <c r="M16">
        <f>'Übersicht Score Index'!F16*Rezepte!AQ16</f>
        <v>0</v>
      </c>
      <c r="N16">
        <f>'Übersicht Score Index'!F16*Rezepte!AR16</f>
        <v>0</v>
      </c>
      <c r="O16">
        <f>'Übersicht Score Index'!G16*Rezepte!AP16</f>
        <v>0</v>
      </c>
      <c r="P16">
        <f>'Übersicht Score Index'!G16*Rezepte!AQ16</f>
        <v>0</v>
      </c>
      <c r="Q16">
        <f>'Übersicht Score Index'!G16*Rezepte!AR16</f>
        <v>0</v>
      </c>
      <c r="R16">
        <f>'Übersicht Score Index'!H16*Rezepte!AP16</f>
        <v>0</v>
      </c>
      <c r="S16">
        <f>'Übersicht Score Index'!H16*Rezepte!AQ16</f>
        <v>0</v>
      </c>
      <c r="T16">
        <f>'Übersicht Score Index'!H16*Rezepte!AR16</f>
        <v>0</v>
      </c>
      <c r="U16">
        <f>'Übersicht Score Index'!I16*Rezepte!AP16</f>
        <v>0</v>
      </c>
      <c r="V16">
        <f>'Übersicht Score Index'!I16*Rezepte!AQ16</f>
        <v>0</v>
      </c>
      <c r="W16">
        <f>'Übersicht Score Index'!I16*Rezepte!AR16</f>
        <v>0</v>
      </c>
    </row>
    <row r="17" spans="1:23" x14ac:dyDescent="0.3">
      <c r="A17" s="2" t="s">
        <v>39</v>
      </c>
      <c r="B17" s="2" t="s">
        <v>40</v>
      </c>
      <c r="C17">
        <f>'Übersicht Score Index'!C17*Rezepte!AP17</f>
        <v>0</v>
      </c>
      <c r="D17">
        <f>'Übersicht Score Index'!C17*Rezepte!AQ17</f>
        <v>0</v>
      </c>
      <c r="E17">
        <f>'Übersicht Score Index'!C17*Rezepte!AR17</f>
        <v>0</v>
      </c>
      <c r="F17">
        <f>'Übersicht Score Index'!D17*Rezepte!AP17</f>
        <v>0</v>
      </c>
      <c r="G17">
        <f>'Übersicht Score Index'!D17*Rezepte!AQ17</f>
        <v>0</v>
      </c>
      <c r="H17">
        <f>'Übersicht Score Index'!D17*Rezepte!AR17</f>
        <v>0</v>
      </c>
      <c r="I17">
        <f>'Übersicht Score Index'!E17*Rezepte!AP17</f>
        <v>0</v>
      </c>
      <c r="J17">
        <f>'Übersicht Score Index'!E17*Rezepte!AQ17</f>
        <v>0</v>
      </c>
      <c r="K17">
        <f>'Übersicht Score Index'!E17*Rezepte!AR17</f>
        <v>0</v>
      </c>
      <c r="L17">
        <f>'Übersicht Score Index'!F17*Rezepte!AP17</f>
        <v>0</v>
      </c>
      <c r="M17">
        <f>'Übersicht Score Index'!F17*Rezepte!AQ17</f>
        <v>0</v>
      </c>
      <c r="N17">
        <f>'Übersicht Score Index'!F17*Rezepte!AR17</f>
        <v>0</v>
      </c>
      <c r="O17">
        <f>'Übersicht Score Index'!G17*Rezepte!AP17</f>
        <v>0</v>
      </c>
      <c r="P17">
        <f>'Übersicht Score Index'!G17*Rezepte!AQ17</f>
        <v>0</v>
      </c>
      <c r="Q17">
        <f>'Übersicht Score Index'!G17*Rezepte!AR17</f>
        <v>0</v>
      </c>
      <c r="R17">
        <f>'Übersicht Score Index'!H17*Rezepte!AP17</f>
        <v>0</v>
      </c>
      <c r="S17">
        <f>'Übersicht Score Index'!H17*Rezepte!AQ17</f>
        <v>0</v>
      </c>
      <c r="T17">
        <f>'Übersicht Score Index'!H17*Rezepte!AR17</f>
        <v>0</v>
      </c>
      <c r="U17">
        <f>'Übersicht Score Index'!I17*Rezepte!AP17</f>
        <v>0</v>
      </c>
      <c r="V17">
        <f>'Übersicht Score Index'!I17*Rezepte!AQ17</f>
        <v>0</v>
      </c>
      <c r="W17">
        <f>'Übersicht Score Index'!I17*Rezepte!AR17</f>
        <v>0</v>
      </c>
    </row>
    <row r="18" spans="1:23" x14ac:dyDescent="0.3">
      <c r="A18" s="2" t="s">
        <v>41</v>
      </c>
      <c r="B18" s="2" t="s">
        <v>42</v>
      </c>
      <c r="C18">
        <f>'Übersicht Score Index'!C18*Rezepte!AP18</f>
        <v>0</v>
      </c>
      <c r="D18">
        <f>'Übersicht Score Index'!C18*Rezepte!AQ18</f>
        <v>0</v>
      </c>
      <c r="E18">
        <f>'Übersicht Score Index'!C18*Rezepte!AR18</f>
        <v>0</v>
      </c>
      <c r="F18">
        <f>'Übersicht Score Index'!D18*Rezepte!AP18</f>
        <v>0</v>
      </c>
      <c r="G18">
        <f>'Übersicht Score Index'!D18*Rezepte!AQ18</f>
        <v>0</v>
      </c>
      <c r="H18">
        <f>'Übersicht Score Index'!D18*Rezepte!AR18</f>
        <v>0</v>
      </c>
      <c r="I18">
        <f>'Übersicht Score Index'!E18*Rezepte!AP18</f>
        <v>0</v>
      </c>
      <c r="J18">
        <f>'Übersicht Score Index'!E18*Rezepte!AQ18</f>
        <v>0</v>
      </c>
      <c r="K18">
        <f>'Übersicht Score Index'!E18*Rezepte!AR18</f>
        <v>0</v>
      </c>
      <c r="L18">
        <f>'Übersicht Score Index'!F18*Rezepte!AP18</f>
        <v>0</v>
      </c>
      <c r="M18">
        <f>'Übersicht Score Index'!F18*Rezepte!AQ18</f>
        <v>0</v>
      </c>
      <c r="N18">
        <f>'Übersicht Score Index'!F18*Rezepte!AR18</f>
        <v>0</v>
      </c>
      <c r="O18">
        <f>'Übersicht Score Index'!G18*Rezepte!AP18</f>
        <v>0</v>
      </c>
      <c r="P18">
        <f>'Übersicht Score Index'!G18*Rezepte!AQ18</f>
        <v>0</v>
      </c>
      <c r="Q18">
        <f>'Übersicht Score Index'!G18*Rezepte!AR18</f>
        <v>0</v>
      </c>
      <c r="R18">
        <f>'Übersicht Score Index'!H18*Rezepte!AP18</f>
        <v>0</v>
      </c>
      <c r="S18">
        <f>'Übersicht Score Index'!H18*Rezepte!AQ18</f>
        <v>0</v>
      </c>
      <c r="T18">
        <f>'Übersicht Score Index'!H18*Rezepte!AR18</f>
        <v>0</v>
      </c>
      <c r="U18">
        <f>'Übersicht Score Index'!I18*Rezepte!AP18</f>
        <v>0</v>
      </c>
      <c r="V18">
        <f>'Übersicht Score Index'!I18*Rezepte!AQ18</f>
        <v>0</v>
      </c>
      <c r="W18">
        <f>'Übersicht Score Index'!I18*Rezepte!AR18</f>
        <v>0</v>
      </c>
    </row>
    <row r="19" spans="1:23" x14ac:dyDescent="0.3">
      <c r="A19" s="2" t="s">
        <v>43</v>
      </c>
      <c r="B19" s="2" t="s">
        <v>44</v>
      </c>
      <c r="C19">
        <f>'Übersicht Score Index'!C19*Rezepte!AP19</f>
        <v>0</v>
      </c>
      <c r="D19">
        <f>'Übersicht Score Index'!C19*Rezepte!AQ19</f>
        <v>0</v>
      </c>
      <c r="E19">
        <f>'Übersicht Score Index'!C19*Rezepte!AR19</f>
        <v>0</v>
      </c>
      <c r="F19">
        <f>'Übersicht Score Index'!D19*Rezepte!AP19</f>
        <v>0</v>
      </c>
      <c r="G19">
        <f>'Übersicht Score Index'!D19*Rezepte!AQ19</f>
        <v>0</v>
      </c>
      <c r="H19">
        <f>'Übersicht Score Index'!D19*Rezepte!AR19</f>
        <v>0</v>
      </c>
      <c r="I19">
        <f>'Übersicht Score Index'!E19*Rezepte!AP19</f>
        <v>0</v>
      </c>
      <c r="J19">
        <f>'Übersicht Score Index'!E19*Rezepte!AQ19</f>
        <v>0</v>
      </c>
      <c r="K19">
        <f>'Übersicht Score Index'!E19*Rezepte!AR19</f>
        <v>0</v>
      </c>
      <c r="L19">
        <f>'Übersicht Score Index'!F19*Rezepte!AP19</f>
        <v>0</v>
      </c>
      <c r="M19">
        <f>'Übersicht Score Index'!F19*Rezepte!AQ19</f>
        <v>0</v>
      </c>
      <c r="N19">
        <f>'Übersicht Score Index'!F19*Rezepte!AR19</f>
        <v>0</v>
      </c>
      <c r="O19">
        <f>'Übersicht Score Index'!G19*Rezepte!AP19</f>
        <v>0</v>
      </c>
      <c r="P19">
        <f>'Übersicht Score Index'!G19*Rezepte!AQ19</f>
        <v>0</v>
      </c>
      <c r="Q19">
        <f>'Übersicht Score Index'!G19*Rezepte!AR19</f>
        <v>0</v>
      </c>
      <c r="R19">
        <f>'Übersicht Score Index'!H19*Rezepte!AP19</f>
        <v>0</v>
      </c>
      <c r="S19">
        <f>'Übersicht Score Index'!H19*Rezepte!AQ19</f>
        <v>0</v>
      </c>
      <c r="T19">
        <f>'Übersicht Score Index'!H19*Rezepte!AR19</f>
        <v>0</v>
      </c>
      <c r="U19">
        <f>'Übersicht Score Index'!I19*Rezepte!AP19</f>
        <v>0</v>
      </c>
      <c r="V19">
        <f>'Übersicht Score Index'!I19*Rezepte!AQ19</f>
        <v>0</v>
      </c>
      <c r="W19">
        <f>'Übersicht Score Index'!I19*Rezepte!AR19</f>
        <v>0</v>
      </c>
    </row>
    <row r="20" spans="1:23" x14ac:dyDescent="0.3">
      <c r="A20" s="2" t="s">
        <v>45</v>
      </c>
      <c r="B20" s="2" t="s">
        <v>46</v>
      </c>
      <c r="C20">
        <f>'Übersicht Score Index'!C20*Rezepte!AP20</f>
        <v>0</v>
      </c>
      <c r="D20">
        <f>'Übersicht Score Index'!C20*Rezepte!AQ20</f>
        <v>0</v>
      </c>
      <c r="E20">
        <f>'Übersicht Score Index'!C20*Rezepte!AR20</f>
        <v>0</v>
      </c>
      <c r="F20">
        <f>'Übersicht Score Index'!D20*Rezepte!AP20</f>
        <v>0</v>
      </c>
      <c r="G20">
        <f>'Übersicht Score Index'!D20*Rezepte!AQ20</f>
        <v>0</v>
      </c>
      <c r="H20">
        <f>'Übersicht Score Index'!D20*Rezepte!AR20</f>
        <v>0</v>
      </c>
      <c r="I20">
        <f>'Übersicht Score Index'!E20*Rezepte!AP20</f>
        <v>0</v>
      </c>
      <c r="J20">
        <f>'Übersicht Score Index'!E20*Rezepte!AQ20</f>
        <v>0</v>
      </c>
      <c r="K20">
        <f>'Übersicht Score Index'!E20*Rezepte!AR20</f>
        <v>0</v>
      </c>
      <c r="L20">
        <f>'Übersicht Score Index'!F20*Rezepte!AP20</f>
        <v>0</v>
      </c>
      <c r="M20">
        <f>'Übersicht Score Index'!F20*Rezepte!AQ20</f>
        <v>0</v>
      </c>
      <c r="N20">
        <f>'Übersicht Score Index'!F20*Rezepte!AR20</f>
        <v>0</v>
      </c>
      <c r="O20">
        <f>'Übersicht Score Index'!G20*Rezepte!AP20</f>
        <v>0</v>
      </c>
      <c r="P20">
        <f>'Übersicht Score Index'!G20*Rezepte!AQ20</f>
        <v>0</v>
      </c>
      <c r="Q20">
        <f>'Übersicht Score Index'!G20*Rezepte!AR20</f>
        <v>0</v>
      </c>
      <c r="R20">
        <f>'Übersicht Score Index'!H20*Rezepte!AP20</f>
        <v>0</v>
      </c>
      <c r="S20">
        <f>'Übersicht Score Index'!H20*Rezepte!AQ20</f>
        <v>0</v>
      </c>
      <c r="T20">
        <f>'Übersicht Score Index'!H20*Rezepte!AR20</f>
        <v>0</v>
      </c>
      <c r="U20">
        <f>'Übersicht Score Index'!I20*Rezepte!AP20</f>
        <v>0</v>
      </c>
      <c r="V20">
        <f>'Übersicht Score Index'!I20*Rezepte!AQ20</f>
        <v>0</v>
      </c>
      <c r="W20">
        <f>'Übersicht Score Index'!I20*Rezepte!AR20</f>
        <v>0</v>
      </c>
    </row>
    <row r="21" spans="1:23" x14ac:dyDescent="0.3">
      <c r="A21" s="2" t="s">
        <v>47</v>
      </c>
      <c r="B21" s="2" t="s">
        <v>48</v>
      </c>
      <c r="C21">
        <f>'Übersicht Score Index'!C21*Rezepte!AP21</f>
        <v>0</v>
      </c>
      <c r="D21">
        <f>'Übersicht Score Index'!C21*Rezepte!AQ21</f>
        <v>0</v>
      </c>
      <c r="E21">
        <f>'Übersicht Score Index'!C21*Rezepte!AR21</f>
        <v>0</v>
      </c>
      <c r="F21">
        <f>'Übersicht Score Index'!D21*Rezepte!AP21</f>
        <v>0</v>
      </c>
      <c r="G21">
        <f>'Übersicht Score Index'!D21*Rezepte!AQ21</f>
        <v>0</v>
      </c>
      <c r="H21">
        <f>'Übersicht Score Index'!D21*Rezepte!AR21</f>
        <v>0</v>
      </c>
      <c r="I21">
        <f>'Übersicht Score Index'!E21*Rezepte!AP21</f>
        <v>0</v>
      </c>
      <c r="J21">
        <f>'Übersicht Score Index'!E21*Rezepte!AQ21</f>
        <v>0</v>
      </c>
      <c r="K21">
        <f>'Übersicht Score Index'!E21*Rezepte!AR21</f>
        <v>0</v>
      </c>
      <c r="L21">
        <f>'Übersicht Score Index'!F21*Rezepte!AP21</f>
        <v>0</v>
      </c>
      <c r="M21">
        <f>'Übersicht Score Index'!F21*Rezepte!AQ21</f>
        <v>0</v>
      </c>
      <c r="N21">
        <f>'Übersicht Score Index'!F21*Rezepte!AR21</f>
        <v>0</v>
      </c>
      <c r="O21">
        <f>'Übersicht Score Index'!G21*Rezepte!AP21</f>
        <v>0</v>
      </c>
      <c r="P21">
        <f>'Übersicht Score Index'!G21*Rezepte!AQ21</f>
        <v>0</v>
      </c>
      <c r="Q21">
        <f>'Übersicht Score Index'!G21*Rezepte!AR21</f>
        <v>0</v>
      </c>
      <c r="R21">
        <f>'Übersicht Score Index'!H21*Rezepte!AP21</f>
        <v>0</v>
      </c>
      <c r="S21">
        <f>'Übersicht Score Index'!H21*Rezepte!AQ21</f>
        <v>0</v>
      </c>
      <c r="T21">
        <f>'Übersicht Score Index'!H21*Rezepte!AR21</f>
        <v>0</v>
      </c>
      <c r="U21">
        <f>'Übersicht Score Index'!I21*Rezepte!AP21</f>
        <v>0</v>
      </c>
      <c r="V21">
        <f>'Übersicht Score Index'!I21*Rezepte!AQ21</f>
        <v>0</v>
      </c>
      <c r="W21">
        <f>'Übersicht Score Index'!I21*Rezepte!AR21</f>
        <v>0</v>
      </c>
    </row>
    <row r="22" spans="1:23" x14ac:dyDescent="0.3">
      <c r="A22" s="2" t="s">
        <v>49</v>
      </c>
      <c r="B22" s="2" t="s">
        <v>50</v>
      </c>
      <c r="C22">
        <f>'Übersicht Score Index'!C22*Rezepte!AP22</f>
        <v>0</v>
      </c>
      <c r="D22">
        <f>'Übersicht Score Index'!C22*Rezepte!AQ22</f>
        <v>0</v>
      </c>
      <c r="E22">
        <f>'Übersicht Score Index'!C22*Rezepte!AR22</f>
        <v>0</v>
      </c>
      <c r="F22">
        <f>'Übersicht Score Index'!D22*Rezepte!AP22</f>
        <v>0</v>
      </c>
      <c r="G22">
        <f>'Übersicht Score Index'!D22*Rezepte!AQ22</f>
        <v>0</v>
      </c>
      <c r="H22">
        <f>'Übersicht Score Index'!D22*Rezepte!AR22</f>
        <v>0</v>
      </c>
      <c r="I22">
        <f>'Übersicht Score Index'!E22*Rezepte!AP22</f>
        <v>0</v>
      </c>
      <c r="J22">
        <f>'Übersicht Score Index'!E22*Rezepte!AQ22</f>
        <v>0</v>
      </c>
      <c r="K22">
        <f>'Übersicht Score Index'!E22*Rezepte!AR22</f>
        <v>0</v>
      </c>
      <c r="L22">
        <f>'Übersicht Score Index'!F22*Rezepte!AP22</f>
        <v>0</v>
      </c>
      <c r="M22">
        <f>'Übersicht Score Index'!F22*Rezepte!AQ22</f>
        <v>0</v>
      </c>
      <c r="N22">
        <f>'Übersicht Score Index'!F22*Rezepte!AR22</f>
        <v>0</v>
      </c>
      <c r="O22">
        <f>'Übersicht Score Index'!G22*Rezepte!AP22</f>
        <v>0</v>
      </c>
      <c r="P22">
        <f>'Übersicht Score Index'!G22*Rezepte!AQ22</f>
        <v>0</v>
      </c>
      <c r="Q22">
        <f>'Übersicht Score Index'!G22*Rezepte!AR22</f>
        <v>0</v>
      </c>
      <c r="R22">
        <f>'Übersicht Score Index'!H22*Rezepte!AP22</f>
        <v>0</v>
      </c>
      <c r="S22">
        <f>'Übersicht Score Index'!H22*Rezepte!AQ22</f>
        <v>0</v>
      </c>
      <c r="T22">
        <f>'Übersicht Score Index'!H22*Rezepte!AR22</f>
        <v>0</v>
      </c>
      <c r="U22">
        <f>'Übersicht Score Index'!I22*Rezepte!AP22</f>
        <v>0</v>
      </c>
      <c r="V22">
        <f>'Übersicht Score Index'!I22*Rezepte!AQ22</f>
        <v>0</v>
      </c>
      <c r="W22">
        <f>'Übersicht Score Index'!I22*Rezepte!AR22</f>
        <v>0</v>
      </c>
    </row>
    <row r="23" spans="1:23" x14ac:dyDescent="0.3">
      <c r="A23" s="2" t="s">
        <v>51</v>
      </c>
      <c r="B23" s="2" t="s">
        <v>52</v>
      </c>
      <c r="C23" t="e">
        <f>'Übersicht Score Index'!C23*Rezepte!#REF!</f>
        <v>#REF!</v>
      </c>
      <c r="D23" t="e">
        <f>'Übersicht Score Index'!C23*Rezepte!#REF!</f>
        <v>#REF!</v>
      </c>
      <c r="E23" t="e">
        <f>'Übersicht Score Index'!C23*Rezepte!#REF!</f>
        <v>#REF!</v>
      </c>
      <c r="F23" t="e">
        <f>'Übersicht Score Index'!D23*Rezepte!#REF!</f>
        <v>#REF!</v>
      </c>
      <c r="G23" t="e">
        <f>'Übersicht Score Index'!D23*Rezepte!#REF!</f>
        <v>#REF!</v>
      </c>
      <c r="H23" t="e">
        <f>'Übersicht Score Index'!D23*Rezepte!#REF!</f>
        <v>#REF!</v>
      </c>
      <c r="I23" t="e">
        <f>'Übersicht Score Index'!E23*Rezepte!#REF!</f>
        <v>#REF!</v>
      </c>
      <c r="J23" t="e">
        <f>'Übersicht Score Index'!E23*Rezepte!#REF!</f>
        <v>#REF!</v>
      </c>
      <c r="K23" t="e">
        <f>'Übersicht Score Index'!E23*Rezepte!#REF!</f>
        <v>#REF!</v>
      </c>
      <c r="L23" t="e">
        <f>'Übersicht Score Index'!F23*Rezepte!#REF!</f>
        <v>#REF!</v>
      </c>
      <c r="M23" t="e">
        <f>'Übersicht Score Index'!F23*Rezepte!#REF!</f>
        <v>#REF!</v>
      </c>
      <c r="N23" t="e">
        <f>'Übersicht Score Index'!F23*Rezepte!#REF!</f>
        <v>#REF!</v>
      </c>
      <c r="O23" t="e">
        <f>'Übersicht Score Index'!G23*Rezepte!#REF!</f>
        <v>#REF!</v>
      </c>
      <c r="P23" t="e">
        <f>'Übersicht Score Index'!G23*Rezepte!#REF!</f>
        <v>#REF!</v>
      </c>
      <c r="Q23" t="e">
        <f>'Übersicht Score Index'!G23*Rezepte!#REF!</f>
        <v>#REF!</v>
      </c>
      <c r="R23" t="e">
        <f>'Übersicht Score Index'!H23*Rezepte!#REF!</f>
        <v>#REF!</v>
      </c>
      <c r="S23" t="e">
        <f>'Übersicht Score Index'!H23*Rezepte!#REF!</f>
        <v>#REF!</v>
      </c>
      <c r="T23" t="e">
        <f>'Übersicht Score Index'!H23*Rezepte!#REF!</f>
        <v>#REF!</v>
      </c>
      <c r="U23" t="e">
        <f>'Übersicht Score Index'!I23*Rezepte!#REF!</f>
        <v>#REF!</v>
      </c>
      <c r="V23" t="e">
        <f>'Übersicht Score Index'!I23*Rezepte!#REF!</f>
        <v>#REF!</v>
      </c>
      <c r="W23" t="e">
        <f>'Übersicht Score Index'!I23*Rezepte!#REF!</f>
        <v>#REF!</v>
      </c>
    </row>
    <row r="24" spans="1:23" x14ac:dyDescent="0.3">
      <c r="A24" s="2" t="s">
        <v>53</v>
      </c>
      <c r="B24" s="2" t="s">
        <v>54</v>
      </c>
      <c r="C24">
        <f>'Übersicht Score Index'!C24*Rezepte!AP24</f>
        <v>0</v>
      </c>
      <c r="D24">
        <f>'Übersicht Score Index'!C24*Rezepte!AQ24</f>
        <v>0</v>
      </c>
      <c r="E24">
        <f>'Übersicht Score Index'!C24*Rezepte!AR24</f>
        <v>0</v>
      </c>
      <c r="F24">
        <f>'Übersicht Score Index'!D24*Rezepte!AP24</f>
        <v>0</v>
      </c>
      <c r="G24">
        <f>'Übersicht Score Index'!D24*Rezepte!AQ24</f>
        <v>0</v>
      </c>
      <c r="H24">
        <f>'Übersicht Score Index'!D24*Rezepte!AR24</f>
        <v>0</v>
      </c>
      <c r="I24">
        <f>'Übersicht Score Index'!E24*Rezepte!AP24</f>
        <v>0</v>
      </c>
      <c r="J24">
        <f>'Übersicht Score Index'!E24*Rezepte!AQ24</f>
        <v>0</v>
      </c>
      <c r="K24">
        <f>'Übersicht Score Index'!E24*Rezepte!AR24</f>
        <v>0</v>
      </c>
      <c r="L24">
        <f>'Übersicht Score Index'!F24*Rezepte!AP24</f>
        <v>0</v>
      </c>
      <c r="M24">
        <f>'Übersicht Score Index'!F24*Rezepte!AQ24</f>
        <v>0</v>
      </c>
      <c r="N24">
        <f>'Übersicht Score Index'!F24*Rezepte!AR24</f>
        <v>0</v>
      </c>
      <c r="O24">
        <f>'Übersicht Score Index'!G24*Rezepte!AP24</f>
        <v>0</v>
      </c>
      <c r="P24">
        <f>'Übersicht Score Index'!G24*Rezepte!AQ24</f>
        <v>0</v>
      </c>
      <c r="Q24">
        <f>'Übersicht Score Index'!G24*Rezepte!AR24</f>
        <v>0</v>
      </c>
      <c r="R24">
        <f>'Übersicht Score Index'!H24*Rezepte!AP24</f>
        <v>0</v>
      </c>
      <c r="S24">
        <f>'Übersicht Score Index'!H24*Rezepte!AQ24</f>
        <v>0</v>
      </c>
      <c r="T24">
        <f>'Übersicht Score Index'!H24*Rezepte!AR24</f>
        <v>0</v>
      </c>
      <c r="U24">
        <f>'Übersicht Score Index'!I24*Rezepte!AP24</f>
        <v>0</v>
      </c>
      <c r="V24">
        <f>'Übersicht Score Index'!I24*Rezepte!AQ24</f>
        <v>0</v>
      </c>
      <c r="W24">
        <f>'Übersicht Score Index'!I24*Rezepte!AR24</f>
        <v>0</v>
      </c>
    </row>
    <row r="25" spans="1:23" x14ac:dyDescent="0.3">
      <c r="A25" s="2" t="s">
        <v>55</v>
      </c>
      <c r="B25" s="2" t="s">
        <v>56</v>
      </c>
      <c r="C25">
        <f>'Übersicht Score Index'!C25*Rezepte!AP25</f>
        <v>0</v>
      </c>
      <c r="D25">
        <f>'Übersicht Score Index'!C25*Rezepte!AQ25</f>
        <v>0</v>
      </c>
      <c r="E25">
        <f>'Übersicht Score Index'!C25*Rezepte!AR25</f>
        <v>0</v>
      </c>
      <c r="F25">
        <f>'Übersicht Score Index'!D25*Rezepte!AP25</f>
        <v>0</v>
      </c>
      <c r="G25">
        <f>'Übersicht Score Index'!D25*Rezepte!AQ25</f>
        <v>0</v>
      </c>
      <c r="H25">
        <f>'Übersicht Score Index'!D25*Rezepte!AR25</f>
        <v>0</v>
      </c>
      <c r="I25">
        <f>'Übersicht Score Index'!E25*Rezepte!AP25</f>
        <v>0</v>
      </c>
      <c r="J25">
        <f>'Übersicht Score Index'!E25*Rezepte!AQ25</f>
        <v>0</v>
      </c>
      <c r="K25">
        <f>'Übersicht Score Index'!E25*Rezepte!AR25</f>
        <v>0</v>
      </c>
      <c r="L25">
        <f>'Übersicht Score Index'!F25*Rezepte!AP25</f>
        <v>0</v>
      </c>
      <c r="M25">
        <f>'Übersicht Score Index'!F25*Rezepte!AQ25</f>
        <v>0</v>
      </c>
      <c r="N25">
        <f>'Übersicht Score Index'!F25*Rezepte!AR25</f>
        <v>0</v>
      </c>
      <c r="O25">
        <f>'Übersicht Score Index'!G25*Rezepte!AP25</f>
        <v>0</v>
      </c>
      <c r="P25">
        <f>'Übersicht Score Index'!G25*Rezepte!AQ25</f>
        <v>0</v>
      </c>
      <c r="Q25">
        <f>'Übersicht Score Index'!G25*Rezepte!AR25</f>
        <v>0</v>
      </c>
      <c r="R25">
        <f>'Übersicht Score Index'!H25*Rezepte!AP25</f>
        <v>0</v>
      </c>
      <c r="S25">
        <f>'Übersicht Score Index'!H25*Rezepte!AQ25</f>
        <v>0</v>
      </c>
      <c r="T25">
        <f>'Übersicht Score Index'!H25*Rezepte!AR25</f>
        <v>0</v>
      </c>
      <c r="U25">
        <f>'Übersicht Score Index'!I25*Rezepte!AP25</f>
        <v>0</v>
      </c>
      <c r="V25">
        <f>'Übersicht Score Index'!I25*Rezepte!AQ25</f>
        <v>0</v>
      </c>
      <c r="W25">
        <f>'Übersicht Score Index'!I25*Rezepte!AR25</f>
        <v>0</v>
      </c>
    </row>
    <row r="26" spans="1:23" x14ac:dyDescent="0.3">
      <c r="A26" s="2" t="s">
        <v>57</v>
      </c>
      <c r="B26" s="2" t="s">
        <v>58</v>
      </c>
      <c r="C26">
        <f>'Übersicht Score Index'!C26*Rezepte!AP26</f>
        <v>0</v>
      </c>
      <c r="D26">
        <f>'Übersicht Score Index'!C26*Rezepte!AQ26</f>
        <v>0</v>
      </c>
      <c r="E26">
        <f>'Übersicht Score Index'!C26*Rezepte!AR26</f>
        <v>0</v>
      </c>
      <c r="F26">
        <f>'Übersicht Score Index'!D26*Rezepte!AP26</f>
        <v>0</v>
      </c>
      <c r="G26">
        <f>'Übersicht Score Index'!D26*Rezepte!AQ26</f>
        <v>0</v>
      </c>
      <c r="H26">
        <f>'Übersicht Score Index'!D26*Rezepte!AR26</f>
        <v>0</v>
      </c>
      <c r="I26">
        <f>'Übersicht Score Index'!E26*Rezepte!AP26</f>
        <v>0</v>
      </c>
      <c r="J26">
        <f>'Übersicht Score Index'!E26*Rezepte!AQ26</f>
        <v>0</v>
      </c>
      <c r="K26">
        <f>'Übersicht Score Index'!E26*Rezepte!AR26</f>
        <v>0</v>
      </c>
      <c r="L26">
        <f>'Übersicht Score Index'!F26*Rezepte!AP26</f>
        <v>0</v>
      </c>
      <c r="M26">
        <f>'Übersicht Score Index'!F26*Rezepte!AQ26</f>
        <v>0</v>
      </c>
      <c r="N26">
        <f>'Übersicht Score Index'!F26*Rezepte!AR26</f>
        <v>0</v>
      </c>
      <c r="O26">
        <f>'Übersicht Score Index'!G26*Rezepte!AP26</f>
        <v>0</v>
      </c>
      <c r="P26">
        <f>'Übersicht Score Index'!G26*Rezepte!AQ26</f>
        <v>0</v>
      </c>
      <c r="Q26">
        <f>'Übersicht Score Index'!G26*Rezepte!AR26</f>
        <v>0</v>
      </c>
      <c r="R26">
        <f>'Übersicht Score Index'!H26*Rezepte!AP26</f>
        <v>0</v>
      </c>
      <c r="S26">
        <f>'Übersicht Score Index'!H26*Rezepte!AQ26</f>
        <v>0</v>
      </c>
      <c r="T26">
        <f>'Übersicht Score Index'!H26*Rezepte!AR26</f>
        <v>0</v>
      </c>
      <c r="U26">
        <f>'Übersicht Score Index'!I26*Rezepte!AP26</f>
        <v>0</v>
      </c>
      <c r="V26">
        <f>'Übersicht Score Index'!I26*Rezepte!AQ26</f>
        <v>0</v>
      </c>
      <c r="W26">
        <f>'Übersicht Score Index'!I26*Rezepte!AR26</f>
        <v>0</v>
      </c>
    </row>
    <row r="27" spans="1:23" x14ac:dyDescent="0.3">
      <c r="A27" s="2" t="s">
        <v>59</v>
      </c>
      <c r="B27" s="2" t="s">
        <v>60</v>
      </c>
      <c r="C27">
        <f>'Übersicht Score Index'!C27*Rezepte!AP27</f>
        <v>0</v>
      </c>
      <c r="D27">
        <f>'Übersicht Score Index'!C27*Rezepte!AQ27</f>
        <v>0</v>
      </c>
      <c r="E27">
        <f>'Übersicht Score Index'!C27*Rezepte!AR27</f>
        <v>0</v>
      </c>
      <c r="F27">
        <f>'Übersicht Score Index'!D27*Rezepte!AP27</f>
        <v>0</v>
      </c>
      <c r="G27">
        <f>'Übersicht Score Index'!D27*Rezepte!AQ27</f>
        <v>0</v>
      </c>
      <c r="H27">
        <f>'Übersicht Score Index'!D27*Rezepte!AR27</f>
        <v>0</v>
      </c>
      <c r="I27">
        <f>'Übersicht Score Index'!E27*Rezepte!AP27</f>
        <v>0</v>
      </c>
      <c r="J27">
        <f>'Übersicht Score Index'!E27*Rezepte!AQ27</f>
        <v>0</v>
      </c>
      <c r="K27">
        <f>'Übersicht Score Index'!E27*Rezepte!AR27</f>
        <v>0</v>
      </c>
      <c r="L27">
        <f>'Übersicht Score Index'!F27*Rezepte!AP27</f>
        <v>0</v>
      </c>
      <c r="M27">
        <f>'Übersicht Score Index'!F27*Rezepte!AQ27</f>
        <v>0</v>
      </c>
      <c r="N27">
        <f>'Übersicht Score Index'!F27*Rezepte!AR27</f>
        <v>0</v>
      </c>
      <c r="O27">
        <f>'Übersicht Score Index'!G27*Rezepte!AP27</f>
        <v>0</v>
      </c>
      <c r="P27">
        <f>'Übersicht Score Index'!G27*Rezepte!AQ27</f>
        <v>0</v>
      </c>
      <c r="Q27">
        <f>'Übersicht Score Index'!G27*Rezepte!AR27</f>
        <v>0</v>
      </c>
      <c r="R27">
        <f>'Übersicht Score Index'!H27*Rezepte!AP27</f>
        <v>0</v>
      </c>
      <c r="S27">
        <f>'Übersicht Score Index'!H27*Rezepte!AQ27</f>
        <v>0</v>
      </c>
      <c r="T27">
        <f>'Übersicht Score Index'!H27*Rezepte!AR27</f>
        <v>0</v>
      </c>
      <c r="U27">
        <f>'Übersicht Score Index'!I27*Rezepte!AP27</f>
        <v>0</v>
      </c>
      <c r="V27">
        <f>'Übersicht Score Index'!I27*Rezepte!AQ27</f>
        <v>0</v>
      </c>
      <c r="W27">
        <f>'Übersicht Score Index'!I27*Rezepte!AR27</f>
        <v>0</v>
      </c>
    </row>
    <row r="28" spans="1:23" x14ac:dyDescent="0.3">
      <c r="A28" s="2" t="s">
        <v>61</v>
      </c>
      <c r="B28" s="2" t="s">
        <v>62</v>
      </c>
      <c r="C28">
        <f>'Übersicht Score Index'!C28*Rezepte!AP28</f>
        <v>0</v>
      </c>
      <c r="D28">
        <f>'Übersicht Score Index'!C28*Rezepte!AQ28</f>
        <v>0</v>
      </c>
      <c r="E28">
        <f>'Übersicht Score Index'!C28*Rezepte!AR28</f>
        <v>0</v>
      </c>
      <c r="F28">
        <f>'Übersicht Score Index'!D28*Rezepte!AP28</f>
        <v>0</v>
      </c>
      <c r="G28">
        <f>'Übersicht Score Index'!D28*Rezepte!AQ28</f>
        <v>0</v>
      </c>
      <c r="H28">
        <f>'Übersicht Score Index'!D28*Rezepte!AR28</f>
        <v>0</v>
      </c>
      <c r="I28">
        <f>'Übersicht Score Index'!E28*Rezepte!AP28</f>
        <v>0</v>
      </c>
      <c r="J28">
        <f>'Übersicht Score Index'!E28*Rezepte!AQ28</f>
        <v>0</v>
      </c>
      <c r="K28">
        <f>'Übersicht Score Index'!E28*Rezepte!AR28</f>
        <v>0</v>
      </c>
      <c r="L28">
        <f>'Übersicht Score Index'!F28*Rezepte!AP28</f>
        <v>0</v>
      </c>
      <c r="M28">
        <f>'Übersicht Score Index'!F28*Rezepte!AQ28</f>
        <v>0</v>
      </c>
      <c r="N28">
        <f>'Übersicht Score Index'!F28*Rezepte!AR28</f>
        <v>0</v>
      </c>
      <c r="O28">
        <f>'Übersicht Score Index'!G28*Rezepte!AP28</f>
        <v>0</v>
      </c>
      <c r="P28">
        <f>'Übersicht Score Index'!G28*Rezepte!AQ28</f>
        <v>0</v>
      </c>
      <c r="Q28">
        <f>'Übersicht Score Index'!G28*Rezepte!AR28</f>
        <v>0</v>
      </c>
      <c r="R28">
        <f>'Übersicht Score Index'!H28*Rezepte!AP28</f>
        <v>0</v>
      </c>
      <c r="S28">
        <f>'Übersicht Score Index'!H28*Rezepte!AQ28</f>
        <v>0</v>
      </c>
      <c r="T28">
        <f>'Übersicht Score Index'!H28*Rezepte!AR28</f>
        <v>0</v>
      </c>
      <c r="U28">
        <f>'Übersicht Score Index'!I28*Rezepte!AP28</f>
        <v>0</v>
      </c>
      <c r="V28">
        <f>'Übersicht Score Index'!I28*Rezepte!AQ28</f>
        <v>0</v>
      </c>
      <c r="W28">
        <f>'Übersicht Score Index'!I28*Rezepte!AR28</f>
        <v>0</v>
      </c>
    </row>
    <row r="29" spans="1:23" x14ac:dyDescent="0.3">
      <c r="A29" s="2" t="s">
        <v>63</v>
      </c>
      <c r="B29" s="2" t="s">
        <v>64</v>
      </c>
      <c r="C29">
        <f>'Übersicht Score Index'!C29*Rezepte!AP29</f>
        <v>0</v>
      </c>
      <c r="D29">
        <f>'Übersicht Score Index'!C29*Rezepte!AQ29</f>
        <v>0</v>
      </c>
      <c r="E29">
        <f>'Übersicht Score Index'!C29*Rezepte!AR29</f>
        <v>0</v>
      </c>
      <c r="F29">
        <f>'Übersicht Score Index'!D29*Rezepte!AP29</f>
        <v>0</v>
      </c>
      <c r="G29">
        <f>'Übersicht Score Index'!D29*Rezepte!AQ29</f>
        <v>0</v>
      </c>
      <c r="H29">
        <f>'Übersicht Score Index'!D29*Rezepte!AR29</f>
        <v>0</v>
      </c>
      <c r="I29">
        <f>'Übersicht Score Index'!E29*Rezepte!AP29</f>
        <v>0</v>
      </c>
      <c r="J29">
        <f>'Übersicht Score Index'!E29*Rezepte!AQ29</f>
        <v>0</v>
      </c>
      <c r="K29">
        <f>'Übersicht Score Index'!E29*Rezepte!AR29</f>
        <v>0</v>
      </c>
      <c r="L29">
        <f>'Übersicht Score Index'!F29*Rezepte!AP29</f>
        <v>0</v>
      </c>
      <c r="M29">
        <f>'Übersicht Score Index'!F29*Rezepte!AQ29</f>
        <v>0</v>
      </c>
      <c r="N29">
        <f>'Übersicht Score Index'!F29*Rezepte!AR29</f>
        <v>0</v>
      </c>
      <c r="O29">
        <f>'Übersicht Score Index'!G29*Rezepte!AP29</f>
        <v>0</v>
      </c>
      <c r="P29">
        <f>'Übersicht Score Index'!G29*Rezepte!AQ29</f>
        <v>0</v>
      </c>
      <c r="Q29">
        <f>'Übersicht Score Index'!G29*Rezepte!AR29</f>
        <v>0</v>
      </c>
      <c r="R29">
        <f>'Übersicht Score Index'!H29*Rezepte!AP29</f>
        <v>0</v>
      </c>
      <c r="S29">
        <f>'Übersicht Score Index'!H29*Rezepte!AQ29</f>
        <v>0</v>
      </c>
      <c r="T29">
        <f>'Übersicht Score Index'!H29*Rezepte!AR29</f>
        <v>0</v>
      </c>
      <c r="U29">
        <f>'Übersicht Score Index'!I29*Rezepte!AP29</f>
        <v>0</v>
      </c>
      <c r="V29">
        <f>'Übersicht Score Index'!I29*Rezepte!AQ29</f>
        <v>0</v>
      </c>
      <c r="W29">
        <f>'Übersicht Score Index'!I29*Rezepte!AR29</f>
        <v>0</v>
      </c>
    </row>
    <row r="30" spans="1:23" x14ac:dyDescent="0.3">
      <c r="A30" s="2" t="s">
        <v>65</v>
      </c>
      <c r="B30" s="2" t="s">
        <v>66</v>
      </c>
      <c r="C30">
        <f>'Übersicht Score Index'!C30*Rezepte!AP30</f>
        <v>0</v>
      </c>
      <c r="D30">
        <f>'Übersicht Score Index'!C30*Rezepte!AQ30</f>
        <v>0</v>
      </c>
      <c r="E30">
        <f>'Übersicht Score Index'!C30*Rezepte!AR30</f>
        <v>0</v>
      </c>
      <c r="F30">
        <f>'Übersicht Score Index'!D30*Rezepte!AP30</f>
        <v>0</v>
      </c>
      <c r="G30">
        <f>'Übersicht Score Index'!D30*Rezepte!AQ30</f>
        <v>0</v>
      </c>
      <c r="H30">
        <f>'Übersicht Score Index'!D30*Rezepte!AR30</f>
        <v>0</v>
      </c>
      <c r="I30">
        <f>'Übersicht Score Index'!E30*Rezepte!AP30</f>
        <v>0</v>
      </c>
      <c r="J30">
        <f>'Übersicht Score Index'!E30*Rezepte!AQ30</f>
        <v>0</v>
      </c>
      <c r="K30">
        <f>'Übersicht Score Index'!E30*Rezepte!AR30</f>
        <v>0</v>
      </c>
      <c r="L30">
        <f>'Übersicht Score Index'!F30*Rezepte!AP30</f>
        <v>0</v>
      </c>
      <c r="M30">
        <f>'Übersicht Score Index'!F30*Rezepte!AQ30</f>
        <v>0</v>
      </c>
      <c r="N30">
        <f>'Übersicht Score Index'!F30*Rezepte!AR30</f>
        <v>0</v>
      </c>
      <c r="O30">
        <f>'Übersicht Score Index'!G30*Rezepte!AP30</f>
        <v>0</v>
      </c>
      <c r="P30">
        <f>'Übersicht Score Index'!G30*Rezepte!AQ30</f>
        <v>0</v>
      </c>
      <c r="Q30">
        <f>'Übersicht Score Index'!G30*Rezepte!AR30</f>
        <v>0</v>
      </c>
      <c r="R30">
        <f>'Übersicht Score Index'!H30*Rezepte!AP30</f>
        <v>0</v>
      </c>
      <c r="S30">
        <f>'Übersicht Score Index'!H30*Rezepte!AQ30</f>
        <v>0</v>
      </c>
      <c r="T30">
        <f>'Übersicht Score Index'!H30*Rezepte!AR30</f>
        <v>0</v>
      </c>
      <c r="U30">
        <f>'Übersicht Score Index'!I30*Rezepte!AP30</f>
        <v>0</v>
      </c>
      <c r="V30">
        <f>'Übersicht Score Index'!I30*Rezepte!AQ30</f>
        <v>0</v>
      </c>
      <c r="W30">
        <f>'Übersicht Score Index'!I30*Rezepte!AR30</f>
        <v>0</v>
      </c>
    </row>
    <row r="31" spans="1:23" x14ac:dyDescent="0.3">
      <c r="A31" s="2" t="s">
        <v>67</v>
      </c>
      <c r="B31" s="2" t="s">
        <v>68</v>
      </c>
      <c r="C31">
        <f>'Übersicht Score Index'!C31*Rezepte!AP31</f>
        <v>0</v>
      </c>
      <c r="D31">
        <f>'Übersicht Score Index'!C31*Rezepte!AQ31</f>
        <v>0</v>
      </c>
      <c r="E31">
        <f>'Übersicht Score Index'!C31*Rezepte!AR31</f>
        <v>0</v>
      </c>
      <c r="F31">
        <f>'Übersicht Score Index'!D31*Rezepte!AP31</f>
        <v>0</v>
      </c>
      <c r="G31">
        <f>'Übersicht Score Index'!D31*Rezepte!AQ31</f>
        <v>0</v>
      </c>
      <c r="H31">
        <f>'Übersicht Score Index'!D31*Rezepte!AR31</f>
        <v>0</v>
      </c>
      <c r="I31">
        <f>'Übersicht Score Index'!E31*Rezepte!AP31</f>
        <v>0</v>
      </c>
      <c r="J31">
        <f>'Übersicht Score Index'!E31*Rezepte!AQ31</f>
        <v>0</v>
      </c>
      <c r="K31">
        <f>'Übersicht Score Index'!E31*Rezepte!AR31</f>
        <v>0</v>
      </c>
      <c r="L31">
        <f>'Übersicht Score Index'!F31*Rezepte!AP31</f>
        <v>0</v>
      </c>
      <c r="M31">
        <f>'Übersicht Score Index'!F31*Rezepte!AQ31</f>
        <v>0</v>
      </c>
      <c r="N31">
        <f>'Übersicht Score Index'!F31*Rezepte!AR31</f>
        <v>0</v>
      </c>
      <c r="O31">
        <f>'Übersicht Score Index'!G31*Rezepte!AP31</f>
        <v>0</v>
      </c>
      <c r="P31">
        <f>'Übersicht Score Index'!G31*Rezepte!AQ31</f>
        <v>0</v>
      </c>
      <c r="Q31">
        <f>'Übersicht Score Index'!G31*Rezepte!AR31</f>
        <v>0</v>
      </c>
      <c r="R31">
        <f>'Übersicht Score Index'!H31*Rezepte!AP31</f>
        <v>0</v>
      </c>
      <c r="S31">
        <f>'Übersicht Score Index'!H31*Rezepte!AQ31</f>
        <v>0</v>
      </c>
      <c r="T31">
        <f>'Übersicht Score Index'!H31*Rezepte!AR31</f>
        <v>0</v>
      </c>
      <c r="U31">
        <f>'Übersicht Score Index'!I31*Rezepte!AP31</f>
        <v>0</v>
      </c>
      <c r="V31">
        <f>'Übersicht Score Index'!I31*Rezepte!AQ31</f>
        <v>0</v>
      </c>
      <c r="W31">
        <f>'Übersicht Score Index'!I31*Rezepte!AR31</f>
        <v>0</v>
      </c>
    </row>
    <row r="32" spans="1:23" x14ac:dyDescent="0.3">
      <c r="A32" s="2" t="s">
        <v>69</v>
      </c>
      <c r="B32" s="2" t="s">
        <v>70</v>
      </c>
      <c r="C32">
        <f>'Übersicht Score Index'!C32*Rezepte!AP32</f>
        <v>2.9340365706701128E-3</v>
      </c>
      <c r="D32">
        <f>'Übersicht Score Index'!C32*Rezepte!AQ32</f>
        <v>1.4670182853350564E-3</v>
      </c>
      <c r="E32">
        <f>'Übersicht Score Index'!C32*Rezepte!AR32</f>
        <v>1.4670182853350564E-3</v>
      </c>
      <c r="F32">
        <f>'Übersicht Score Index'!D32*Rezepte!AP32</f>
        <v>0</v>
      </c>
      <c r="G32">
        <f>'Übersicht Score Index'!D32*Rezepte!AQ32</f>
        <v>0</v>
      </c>
      <c r="H32">
        <f>'Übersicht Score Index'!D32*Rezepte!AR32</f>
        <v>0</v>
      </c>
      <c r="I32">
        <f>'Übersicht Score Index'!E32*Rezepte!AP32</f>
        <v>0</v>
      </c>
      <c r="J32">
        <f>'Übersicht Score Index'!E32*Rezepte!AQ32</f>
        <v>0</v>
      </c>
      <c r="K32">
        <f>'Übersicht Score Index'!E32*Rezepte!AR32</f>
        <v>0</v>
      </c>
      <c r="L32">
        <f>'Übersicht Score Index'!F32*Rezepte!AP32</f>
        <v>0</v>
      </c>
      <c r="M32">
        <f>'Übersicht Score Index'!F32*Rezepte!AQ32</f>
        <v>0</v>
      </c>
      <c r="N32">
        <f>'Übersicht Score Index'!F32*Rezepte!AR32</f>
        <v>0</v>
      </c>
      <c r="O32">
        <f>'Übersicht Score Index'!G32*Rezepte!AP32</f>
        <v>2.9340365706701128E-4</v>
      </c>
      <c r="P32">
        <f>'Übersicht Score Index'!G32*Rezepte!AQ32</f>
        <v>1.4670182853350564E-4</v>
      </c>
      <c r="Q32">
        <f>'Übersicht Score Index'!G32*Rezepte!AR32</f>
        <v>1.4670182853350564E-4</v>
      </c>
      <c r="R32">
        <f>'Übersicht Score Index'!H32*Rezepte!AP32</f>
        <v>2.9340365706701128E-4</v>
      </c>
      <c r="S32">
        <f>'Übersicht Score Index'!H32*Rezepte!AQ32</f>
        <v>1.4670182853350564E-4</v>
      </c>
      <c r="T32">
        <f>'Übersicht Score Index'!H32*Rezepte!AR32</f>
        <v>1.4670182853350564E-4</v>
      </c>
      <c r="U32">
        <f>'Übersicht Score Index'!I32*Rezepte!AP32</f>
        <v>2.9340365706701128E-4</v>
      </c>
      <c r="V32">
        <f>'Übersicht Score Index'!I32*Rezepte!AQ32</f>
        <v>1.4670182853350564E-4</v>
      </c>
      <c r="W32">
        <f>'Übersicht Score Index'!I32*Rezepte!AR32</f>
        <v>1.4670182853350564E-4</v>
      </c>
    </row>
    <row r="33" spans="1:23" x14ac:dyDescent="0.3">
      <c r="A33" s="2" t="s">
        <v>71</v>
      </c>
      <c r="B33" s="2" t="s">
        <v>72</v>
      </c>
      <c r="C33">
        <f>'Übersicht Score Index'!C33*Rezepte!AP33</f>
        <v>0</v>
      </c>
      <c r="D33">
        <f>'Übersicht Score Index'!C33*Rezepte!AQ33</f>
        <v>0</v>
      </c>
      <c r="E33">
        <f>'Übersicht Score Index'!C33*Rezepte!AR33</f>
        <v>0</v>
      </c>
      <c r="F33">
        <f>'Übersicht Score Index'!D33*Rezepte!AP33</f>
        <v>0</v>
      </c>
      <c r="G33">
        <f>'Übersicht Score Index'!D33*Rezepte!AQ33</f>
        <v>0</v>
      </c>
      <c r="H33">
        <f>'Übersicht Score Index'!D33*Rezepte!AR33</f>
        <v>0</v>
      </c>
      <c r="I33">
        <f>'Übersicht Score Index'!E33*Rezepte!AP33</f>
        <v>0</v>
      </c>
      <c r="J33">
        <f>'Übersicht Score Index'!E33*Rezepte!AQ33</f>
        <v>0</v>
      </c>
      <c r="K33">
        <f>'Übersicht Score Index'!E33*Rezepte!AR33</f>
        <v>0</v>
      </c>
      <c r="L33">
        <f>'Übersicht Score Index'!F33*Rezepte!AP33</f>
        <v>0</v>
      </c>
      <c r="M33">
        <f>'Übersicht Score Index'!F33*Rezepte!AQ33</f>
        <v>0</v>
      </c>
      <c r="N33">
        <f>'Übersicht Score Index'!F33*Rezepte!AR33</f>
        <v>0</v>
      </c>
      <c r="O33">
        <f>'Übersicht Score Index'!G33*Rezepte!AP33</f>
        <v>0</v>
      </c>
      <c r="P33">
        <f>'Übersicht Score Index'!G33*Rezepte!AQ33</f>
        <v>0</v>
      </c>
      <c r="Q33">
        <f>'Übersicht Score Index'!G33*Rezepte!AR33</f>
        <v>0</v>
      </c>
      <c r="R33">
        <f>'Übersicht Score Index'!H33*Rezepte!AP33</f>
        <v>0</v>
      </c>
      <c r="S33">
        <f>'Übersicht Score Index'!H33*Rezepte!AQ33</f>
        <v>0</v>
      </c>
      <c r="T33">
        <f>'Übersicht Score Index'!H33*Rezepte!AR33</f>
        <v>0</v>
      </c>
      <c r="U33">
        <f>'Übersicht Score Index'!I33*Rezepte!AP33</f>
        <v>0</v>
      </c>
      <c r="V33">
        <f>'Übersicht Score Index'!I33*Rezepte!AQ33</f>
        <v>0</v>
      </c>
      <c r="W33">
        <f>'Übersicht Score Index'!I33*Rezepte!AR33</f>
        <v>0</v>
      </c>
    </row>
    <row r="34" spans="1:23" x14ac:dyDescent="0.3">
      <c r="A34" s="2" t="s">
        <v>73</v>
      </c>
      <c r="B34" s="2" t="s">
        <v>74</v>
      </c>
      <c r="C34">
        <f>'Übersicht Score Index'!C34*Rezepte!AP34</f>
        <v>0</v>
      </c>
      <c r="D34">
        <f>'Übersicht Score Index'!C34*Rezepte!AQ34</f>
        <v>0</v>
      </c>
      <c r="E34">
        <f>'Übersicht Score Index'!C34*Rezepte!AR34</f>
        <v>0</v>
      </c>
      <c r="F34">
        <f>'Übersicht Score Index'!D34*Rezepte!AP34</f>
        <v>0</v>
      </c>
      <c r="G34">
        <f>'Übersicht Score Index'!D34*Rezepte!AQ34</f>
        <v>0</v>
      </c>
      <c r="H34">
        <f>'Übersicht Score Index'!D34*Rezepte!AR34</f>
        <v>0</v>
      </c>
      <c r="I34">
        <f>'Übersicht Score Index'!E34*Rezepte!AP34</f>
        <v>0</v>
      </c>
      <c r="J34">
        <f>'Übersicht Score Index'!E34*Rezepte!AQ34</f>
        <v>0</v>
      </c>
      <c r="K34">
        <f>'Übersicht Score Index'!E34*Rezepte!AR34</f>
        <v>0</v>
      </c>
      <c r="L34">
        <f>'Übersicht Score Index'!F34*Rezepte!AP34</f>
        <v>0</v>
      </c>
      <c r="M34">
        <f>'Übersicht Score Index'!F34*Rezepte!AQ34</f>
        <v>0</v>
      </c>
      <c r="N34">
        <f>'Übersicht Score Index'!F34*Rezepte!AR34</f>
        <v>0</v>
      </c>
      <c r="O34">
        <f>'Übersicht Score Index'!G34*Rezepte!AP34</f>
        <v>0</v>
      </c>
      <c r="P34">
        <f>'Übersicht Score Index'!G34*Rezepte!AQ34</f>
        <v>0</v>
      </c>
      <c r="Q34">
        <f>'Übersicht Score Index'!G34*Rezepte!AR34</f>
        <v>0</v>
      </c>
      <c r="R34">
        <f>'Übersicht Score Index'!H34*Rezepte!AP34</f>
        <v>0</v>
      </c>
      <c r="S34">
        <f>'Übersicht Score Index'!H34*Rezepte!AQ34</f>
        <v>0</v>
      </c>
      <c r="T34">
        <f>'Übersicht Score Index'!H34*Rezepte!AR34</f>
        <v>0</v>
      </c>
      <c r="U34">
        <f>'Übersicht Score Index'!I34*Rezepte!AP34</f>
        <v>0</v>
      </c>
      <c r="V34">
        <f>'Übersicht Score Index'!I34*Rezepte!AQ34</f>
        <v>0</v>
      </c>
      <c r="W34">
        <f>'Übersicht Score Index'!I34*Rezepte!AR34</f>
        <v>0</v>
      </c>
    </row>
    <row r="35" spans="1:23" x14ac:dyDescent="0.3">
      <c r="A35" s="2" t="s">
        <v>75</v>
      </c>
      <c r="B35" s="2" t="s">
        <v>76</v>
      </c>
      <c r="C35">
        <f>'Übersicht Score Index'!C35*Rezepte!AP35</f>
        <v>0</v>
      </c>
      <c r="D35">
        <f>'Übersicht Score Index'!C35*Rezepte!AQ35</f>
        <v>0</v>
      </c>
      <c r="E35">
        <f>'Übersicht Score Index'!C35*Rezepte!AR35</f>
        <v>0</v>
      </c>
      <c r="F35">
        <f>'Übersicht Score Index'!D35*Rezepte!AP35</f>
        <v>0</v>
      </c>
      <c r="G35">
        <f>'Übersicht Score Index'!D35*Rezepte!AQ35</f>
        <v>0</v>
      </c>
      <c r="H35">
        <f>'Übersicht Score Index'!D35*Rezepte!AR35</f>
        <v>0</v>
      </c>
      <c r="I35">
        <f>'Übersicht Score Index'!E35*Rezepte!AP35</f>
        <v>0</v>
      </c>
      <c r="J35">
        <f>'Übersicht Score Index'!E35*Rezepte!AQ35</f>
        <v>0</v>
      </c>
      <c r="K35">
        <f>'Übersicht Score Index'!E35*Rezepte!AR35</f>
        <v>0</v>
      </c>
      <c r="L35">
        <f>'Übersicht Score Index'!F35*Rezepte!AP35</f>
        <v>0</v>
      </c>
      <c r="M35">
        <f>'Übersicht Score Index'!F35*Rezepte!AQ35</f>
        <v>0</v>
      </c>
      <c r="N35">
        <f>'Übersicht Score Index'!F35*Rezepte!AR35</f>
        <v>0</v>
      </c>
      <c r="O35">
        <f>'Übersicht Score Index'!G35*Rezepte!AP35</f>
        <v>0</v>
      </c>
      <c r="P35">
        <f>'Übersicht Score Index'!G35*Rezepte!AQ35</f>
        <v>0</v>
      </c>
      <c r="Q35">
        <f>'Übersicht Score Index'!G35*Rezepte!AR35</f>
        <v>0</v>
      </c>
      <c r="R35">
        <f>'Übersicht Score Index'!H35*Rezepte!AP35</f>
        <v>0</v>
      </c>
      <c r="S35">
        <f>'Übersicht Score Index'!H35*Rezepte!AQ35</f>
        <v>0</v>
      </c>
      <c r="T35">
        <f>'Übersicht Score Index'!H35*Rezepte!AR35</f>
        <v>0</v>
      </c>
      <c r="U35">
        <f>'Übersicht Score Index'!I35*Rezepte!AP35</f>
        <v>0</v>
      </c>
      <c r="V35">
        <f>'Übersicht Score Index'!I35*Rezepte!AQ35</f>
        <v>0</v>
      </c>
      <c r="W35">
        <f>'Übersicht Score Index'!I35*Rezepte!AR35</f>
        <v>0</v>
      </c>
    </row>
    <row r="36" spans="1:23" x14ac:dyDescent="0.3">
      <c r="A36" s="2" t="s">
        <v>77</v>
      </c>
      <c r="B36" s="2" t="s">
        <v>78</v>
      </c>
      <c r="C36">
        <f>'Übersicht Score Index'!C36*Rezepte!AP36</f>
        <v>0</v>
      </c>
      <c r="D36">
        <f>'Übersicht Score Index'!C36*Rezepte!AQ36</f>
        <v>0</v>
      </c>
      <c r="E36">
        <f>'Übersicht Score Index'!C36*Rezepte!AR36</f>
        <v>0</v>
      </c>
      <c r="F36">
        <f>'Übersicht Score Index'!D36*Rezepte!AP36</f>
        <v>0</v>
      </c>
      <c r="G36">
        <f>'Übersicht Score Index'!D36*Rezepte!AQ36</f>
        <v>0</v>
      </c>
      <c r="H36">
        <f>'Übersicht Score Index'!D36*Rezepte!AR36</f>
        <v>0</v>
      </c>
      <c r="I36">
        <f>'Übersicht Score Index'!E36*Rezepte!AP36</f>
        <v>0</v>
      </c>
      <c r="J36">
        <f>'Übersicht Score Index'!E36*Rezepte!AQ36</f>
        <v>0</v>
      </c>
      <c r="K36">
        <f>'Übersicht Score Index'!E36*Rezepte!AR36</f>
        <v>0</v>
      </c>
      <c r="L36">
        <f>'Übersicht Score Index'!F36*Rezepte!AP36</f>
        <v>0</v>
      </c>
      <c r="M36">
        <f>'Übersicht Score Index'!F36*Rezepte!AQ36</f>
        <v>0</v>
      </c>
      <c r="N36">
        <f>'Übersicht Score Index'!F36*Rezepte!AR36</f>
        <v>0</v>
      </c>
      <c r="O36">
        <f>'Übersicht Score Index'!G36*Rezepte!AP36</f>
        <v>0</v>
      </c>
      <c r="P36">
        <f>'Übersicht Score Index'!G36*Rezepte!AQ36</f>
        <v>0</v>
      </c>
      <c r="Q36">
        <f>'Übersicht Score Index'!G36*Rezepte!AR36</f>
        <v>0</v>
      </c>
      <c r="R36">
        <f>'Übersicht Score Index'!H36*Rezepte!AP36</f>
        <v>0</v>
      </c>
      <c r="S36">
        <f>'Übersicht Score Index'!H36*Rezepte!AQ36</f>
        <v>0</v>
      </c>
      <c r="T36">
        <f>'Übersicht Score Index'!H36*Rezepte!AR36</f>
        <v>0</v>
      </c>
      <c r="U36">
        <f>'Übersicht Score Index'!I36*Rezepte!AP36</f>
        <v>0</v>
      </c>
      <c r="V36">
        <f>'Übersicht Score Index'!I36*Rezepte!AQ36</f>
        <v>0</v>
      </c>
      <c r="W36">
        <f>'Übersicht Score Index'!I36*Rezepte!AR36</f>
        <v>0</v>
      </c>
    </row>
    <row r="37" spans="1:23" x14ac:dyDescent="0.3">
      <c r="A37" s="2" t="s">
        <v>79</v>
      </c>
      <c r="B37" s="2" t="s">
        <v>80</v>
      </c>
      <c r="C37">
        <f>'Übersicht Score Index'!C37*Rezepte!AP37</f>
        <v>0</v>
      </c>
      <c r="D37">
        <f>'Übersicht Score Index'!C37*Rezepte!AQ37</f>
        <v>0</v>
      </c>
      <c r="E37">
        <f>'Übersicht Score Index'!C37*Rezepte!AR37</f>
        <v>0</v>
      </c>
      <c r="F37">
        <f>'Übersicht Score Index'!D37*Rezepte!AP37</f>
        <v>0</v>
      </c>
      <c r="G37">
        <f>'Übersicht Score Index'!D37*Rezepte!AQ37</f>
        <v>0</v>
      </c>
      <c r="H37">
        <f>'Übersicht Score Index'!D37*Rezepte!AR37</f>
        <v>0</v>
      </c>
      <c r="I37">
        <f>'Übersicht Score Index'!E37*Rezepte!AP37</f>
        <v>0</v>
      </c>
      <c r="J37">
        <f>'Übersicht Score Index'!E37*Rezepte!AQ37</f>
        <v>0</v>
      </c>
      <c r="K37">
        <f>'Übersicht Score Index'!E37*Rezepte!AR37</f>
        <v>0</v>
      </c>
      <c r="L37">
        <f>'Übersicht Score Index'!F37*Rezepte!AP37</f>
        <v>0</v>
      </c>
      <c r="M37">
        <f>'Übersicht Score Index'!F37*Rezepte!AQ37</f>
        <v>0</v>
      </c>
      <c r="N37">
        <f>'Übersicht Score Index'!F37*Rezepte!AR37</f>
        <v>0</v>
      </c>
      <c r="O37">
        <f>'Übersicht Score Index'!G37*Rezepte!AP37</f>
        <v>0</v>
      </c>
      <c r="P37">
        <f>'Übersicht Score Index'!G37*Rezepte!AQ37</f>
        <v>0</v>
      </c>
      <c r="Q37">
        <f>'Übersicht Score Index'!G37*Rezepte!AR37</f>
        <v>0</v>
      </c>
      <c r="R37">
        <f>'Übersicht Score Index'!H37*Rezepte!AP37</f>
        <v>0</v>
      </c>
      <c r="S37">
        <f>'Übersicht Score Index'!H37*Rezepte!AQ37</f>
        <v>0</v>
      </c>
      <c r="T37">
        <f>'Übersicht Score Index'!H37*Rezepte!AR37</f>
        <v>0</v>
      </c>
      <c r="U37">
        <f>'Übersicht Score Index'!I37*Rezepte!AP37</f>
        <v>0</v>
      </c>
      <c r="V37">
        <f>'Übersicht Score Index'!I37*Rezepte!AQ37</f>
        <v>0</v>
      </c>
      <c r="W37">
        <f>'Übersicht Score Index'!I37*Rezepte!AR37</f>
        <v>0</v>
      </c>
    </row>
    <row r="38" spans="1:23" x14ac:dyDescent="0.3">
      <c r="A38" s="2" t="s">
        <v>81</v>
      </c>
      <c r="B38" s="2" t="s">
        <v>82</v>
      </c>
      <c r="C38">
        <f>'Übersicht Score Index'!C38*Rezepte!AP38</f>
        <v>0</v>
      </c>
      <c r="D38">
        <f>'Übersicht Score Index'!C38*Rezepte!AQ38</f>
        <v>0</v>
      </c>
      <c r="E38">
        <f>'Übersicht Score Index'!C38*Rezepte!AR38</f>
        <v>0</v>
      </c>
      <c r="F38">
        <f>'Übersicht Score Index'!D38*Rezepte!AP38</f>
        <v>0</v>
      </c>
      <c r="G38">
        <f>'Übersicht Score Index'!D38*Rezepte!AQ38</f>
        <v>0</v>
      </c>
      <c r="H38">
        <f>'Übersicht Score Index'!D38*Rezepte!AR38</f>
        <v>0</v>
      </c>
      <c r="I38">
        <f>'Übersicht Score Index'!E38*Rezepte!AP38</f>
        <v>0</v>
      </c>
      <c r="J38">
        <f>'Übersicht Score Index'!E38*Rezepte!AQ38</f>
        <v>0</v>
      </c>
      <c r="K38">
        <f>'Übersicht Score Index'!E38*Rezepte!AR38</f>
        <v>0</v>
      </c>
      <c r="L38">
        <f>'Übersicht Score Index'!F38*Rezepte!AP38</f>
        <v>0</v>
      </c>
      <c r="M38">
        <f>'Übersicht Score Index'!F38*Rezepte!AQ38</f>
        <v>0</v>
      </c>
      <c r="N38">
        <f>'Übersicht Score Index'!F38*Rezepte!AR38</f>
        <v>0</v>
      </c>
      <c r="O38">
        <f>'Übersicht Score Index'!G38*Rezepte!AP38</f>
        <v>0</v>
      </c>
      <c r="P38">
        <f>'Übersicht Score Index'!G38*Rezepte!AQ38</f>
        <v>0</v>
      </c>
      <c r="Q38">
        <f>'Übersicht Score Index'!G38*Rezepte!AR38</f>
        <v>0</v>
      </c>
      <c r="R38">
        <f>'Übersicht Score Index'!H38*Rezepte!AP38</f>
        <v>0</v>
      </c>
      <c r="S38">
        <f>'Übersicht Score Index'!H38*Rezepte!AQ38</f>
        <v>0</v>
      </c>
      <c r="T38">
        <f>'Übersicht Score Index'!H38*Rezepte!AR38</f>
        <v>0</v>
      </c>
      <c r="U38">
        <f>'Übersicht Score Index'!I38*Rezepte!AP38</f>
        <v>0</v>
      </c>
      <c r="V38">
        <f>'Übersicht Score Index'!I38*Rezepte!AQ38</f>
        <v>0</v>
      </c>
      <c r="W38">
        <f>'Übersicht Score Index'!I38*Rezepte!AR38</f>
        <v>0</v>
      </c>
    </row>
    <row r="39" spans="1:23" x14ac:dyDescent="0.3">
      <c r="A39" s="2" t="s">
        <v>83</v>
      </c>
      <c r="B39" s="2" t="s">
        <v>84</v>
      </c>
      <c r="C39">
        <f>'Übersicht Score Index'!C39*Rezepte!AP39</f>
        <v>0</v>
      </c>
      <c r="D39">
        <f>'Übersicht Score Index'!C39*Rezepte!AQ39</f>
        <v>0</v>
      </c>
      <c r="E39">
        <f>'Übersicht Score Index'!C39*Rezepte!AR39</f>
        <v>0</v>
      </c>
      <c r="F39">
        <f>'Übersicht Score Index'!D39*Rezepte!AP39</f>
        <v>0</v>
      </c>
      <c r="G39">
        <f>'Übersicht Score Index'!D39*Rezepte!AQ39</f>
        <v>0</v>
      </c>
      <c r="H39">
        <f>'Übersicht Score Index'!D39*Rezepte!AR39</f>
        <v>0</v>
      </c>
      <c r="I39">
        <f>'Übersicht Score Index'!E39*Rezepte!AP39</f>
        <v>0</v>
      </c>
      <c r="J39">
        <f>'Übersicht Score Index'!E39*Rezepte!AQ39</f>
        <v>0</v>
      </c>
      <c r="K39">
        <f>'Übersicht Score Index'!E39*Rezepte!AR39</f>
        <v>0</v>
      </c>
      <c r="L39">
        <f>'Übersicht Score Index'!F39*Rezepte!AP39</f>
        <v>0</v>
      </c>
      <c r="M39">
        <f>'Übersicht Score Index'!F39*Rezepte!AQ39</f>
        <v>0</v>
      </c>
      <c r="N39">
        <f>'Übersicht Score Index'!F39*Rezepte!AR39</f>
        <v>0</v>
      </c>
      <c r="O39">
        <f>'Übersicht Score Index'!G39*Rezepte!AP39</f>
        <v>0</v>
      </c>
      <c r="P39">
        <f>'Übersicht Score Index'!G39*Rezepte!AQ39</f>
        <v>0</v>
      </c>
      <c r="Q39">
        <f>'Übersicht Score Index'!G39*Rezepte!AR39</f>
        <v>0</v>
      </c>
      <c r="R39">
        <f>'Übersicht Score Index'!H39*Rezepte!AP39</f>
        <v>0</v>
      </c>
      <c r="S39">
        <f>'Übersicht Score Index'!H39*Rezepte!AQ39</f>
        <v>0</v>
      </c>
      <c r="T39">
        <f>'Übersicht Score Index'!H39*Rezepte!AR39</f>
        <v>0</v>
      </c>
      <c r="U39">
        <f>'Übersicht Score Index'!I39*Rezepte!AP39</f>
        <v>0</v>
      </c>
      <c r="V39">
        <f>'Übersicht Score Index'!I39*Rezepte!AQ39</f>
        <v>0</v>
      </c>
      <c r="W39">
        <f>'Übersicht Score Index'!I39*Rezepte!AR39</f>
        <v>0</v>
      </c>
    </row>
    <row r="40" spans="1:23" x14ac:dyDescent="0.3">
      <c r="A40" s="2" t="s">
        <v>85</v>
      </c>
      <c r="B40" s="2" t="s">
        <v>86</v>
      </c>
      <c r="C40">
        <f>'Übersicht Score Index'!C40*Rezepte!AP40</f>
        <v>0</v>
      </c>
      <c r="D40">
        <f>'Übersicht Score Index'!C40*Rezepte!AQ40</f>
        <v>0</v>
      </c>
      <c r="E40">
        <f>'Übersicht Score Index'!C40*Rezepte!AR40</f>
        <v>0</v>
      </c>
      <c r="F40">
        <f>'Übersicht Score Index'!D40*Rezepte!AP40</f>
        <v>0</v>
      </c>
      <c r="G40">
        <f>'Übersicht Score Index'!D40*Rezepte!AQ40</f>
        <v>0</v>
      </c>
      <c r="H40">
        <f>'Übersicht Score Index'!D40*Rezepte!AR40</f>
        <v>0</v>
      </c>
      <c r="I40">
        <f>'Übersicht Score Index'!E40*Rezepte!AP40</f>
        <v>0</v>
      </c>
      <c r="J40">
        <f>'Übersicht Score Index'!E40*Rezepte!AQ40</f>
        <v>0</v>
      </c>
      <c r="K40">
        <f>'Übersicht Score Index'!E40*Rezepte!AR40</f>
        <v>0</v>
      </c>
      <c r="L40">
        <f>'Übersicht Score Index'!F40*Rezepte!AP40</f>
        <v>0</v>
      </c>
      <c r="M40">
        <f>'Übersicht Score Index'!F40*Rezepte!AQ40</f>
        <v>0</v>
      </c>
      <c r="N40">
        <f>'Übersicht Score Index'!F40*Rezepte!AR40</f>
        <v>0</v>
      </c>
      <c r="O40">
        <f>'Übersicht Score Index'!G40*Rezepte!AP40</f>
        <v>0</v>
      </c>
      <c r="P40">
        <f>'Übersicht Score Index'!G40*Rezepte!AQ40</f>
        <v>0</v>
      </c>
      <c r="Q40">
        <f>'Übersicht Score Index'!G40*Rezepte!AR40</f>
        <v>0</v>
      </c>
      <c r="R40">
        <f>'Übersicht Score Index'!H40*Rezepte!AP40</f>
        <v>0</v>
      </c>
      <c r="S40">
        <f>'Übersicht Score Index'!H40*Rezepte!AQ40</f>
        <v>0</v>
      </c>
      <c r="T40">
        <f>'Übersicht Score Index'!H40*Rezepte!AR40</f>
        <v>0</v>
      </c>
      <c r="U40">
        <f>'Übersicht Score Index'!I40*Rezepte!AP40</f>
        <v>0</v>
      </c>
      <c r="V40">
        <f>'Übersicht Score Index'!I40*Rezepte!AQ40</f>
        <v>0</v>
      </c>
      <c r="W40">
        <f>'Übersicht Score Index'!I40*Rezepte!AR40</f>
        <v>0</v>
      </c>
    </row>
    <row r="41" spans="1:23" x14ac:dyDescent="0.3">
      <c r="A41" s="2" t="s">
        <v>87</v>
      </c>
      <c r="B41" s="2" t="s">
        <v>88</v>
      </c>
      <c r="C41">
        <f>'Übersicht Score Index'!C41*Rezepte!AP41</f>
        <v>0</v>
      </c>
      <c r="D41">
        <f>'Übersicht Score Index'!C41*Rezepte!AQ41</f>
        <v>0</v>
      </c>
      <c r="E41">
        <f>'Übersicht Score Index'!C41*Rezepte!AR41</f>
        <v>0</v>
      </c>
      <c r="F41">
        <f>'Übersicht Score Index'!D41*Rezepte!AP41</f>
        <v>0</v>
      </c>
      <c r="G41">
        <f>'Übersicht Score Index'!D41*Rezepte!AQ41</f>
        <v>0</v>
      </c>
      <c r="H41">
        <f>'Übersicht Score Index'!D41*Rezepte!AR41</f>
        <v>0</v>
      </c>
      <c r="I41">
        <f>'Übersicht Score Index'!E41*Rezepte!AP41</f>
        <v>0</v>
      </c>
      <c r="J41">
        <f>'Übersicht Score Index'!E41*Rezepte!AQ41</f>
        <v>0</v>
      </c>
      <c r="K41">
        <f>'Übersicht Score Index'!E41*Rezepte!AR41</f>
        <v>0</v>
      </c>
      <c r="L41">
        <f>'Übersicht Score Index'!F41*Rezepte!AP41</f>
        <v>0</v>
      </c>
      <c r="M41">
        <f>'Übersicht Score Index'!F41*Rezepte!AQ41</f>
        <v>0</v>
      </c>
      <c r="N41">
        <f>'Übersicht Score Index'!F41*Rezepte!AR41</f>
        <v>0</v>
      </c>
      <c r="O41">
        <f>'Übersicht Score Index'!G41*Rezepte!AP41</f>
        <v>0</v>
      </c>
      <c r="P41">
        <f>'Übersicht Score Index'!G41*Rezepte!AQ41</f>
        <v>0</v>
      </c>
      <c r="Q41">
        <f>'Übersicht Score Index'!G41*Rezepte!AR41</f>
        <v>0</v>
      </c>
      <c r="R41">
        <f>'Übersicht Score Index'!H41*Rezepte!AP41</f>
        <v>0</v>
      </c>
      <c r="S41">
        <f>'Übersicht Score Index'!H41*Rezepte!AQ41</f>
        <v>0</v>
      </c>
      <c r="T41">
        <f>'Übersicht Score Index'!H41*Rezepte!AR41</f>
        <v>0</v>
      </c>
      <c r="U41">
        <f>'Übersicht Score Index'!I41*Rezepte!AP41</f>
        <v>0</v>
      </c>
      <c r="V41">
        <f>'Übersicht Score Index'!I41*Rezepte!AQ41</f>
        <v>0</v>
      </c>
      <c r="W41">
        <f>'Übersicht Score Index'!I41*Rezepte!AR41</f>
        <v>0</v>
      </c>
    </row>
    <row r="42" spans="1:23" x14ac:dyDescent="0.3">
      <c r="A42" s="2" t="s">
        <v>89</v>
      </c>
      <c r="B42" s="2" t="s">
        <v>90</v>
      </c>
      <c r="C42">
        <f>'Übersicht Score Index'!C42*Rezepte!AP42</f>
        <v>0</v>
      </c>
      <c r="D42">
        <f>'Übersicht Score Index'!C42*Rezepte!AQ42</f>
        <v>0</v>
      </c>
      <c r="E42">
        <f>'Übersicht Score Index'!C42*Rezepte!AR42</f>
        <v>0</v>
      </c>
      <c r="F42">
        <f>'Übersicht Score Index'!D42*Rezepte!AP42</f>
        <v>0</v>
      </c>
      <c r="G42">
        <f>'Übersicht Score Index'!D42*Rezepte!AQ42</f>
        <v>0</v>
      </c>
      <c r="H42">
        <f>'Übersicht Score Index'!D42*Rezepte!AR42</f>
        <v>0</v>
      </c>
      <c r="I42">
        <f>'Übersicht Score Index'!E42*Rezepte!AP42</f>
        <v>0</v>
      </c>
      <c r="J42">
        <f>'Übersicht Score Index'!E42*Rezepte!AQ42</f>
        <v>0</v>
      </c>
      <c r="K42">
        <f>'Übersicht Score Index'!E42*Rezepte!AR42</f>
        <v>0</v>
      </c>
      <c r="L42">
        <f>'Übersicht Score Index'!F42*Rezepte!AP42</f>
        <v>0</v>
      </c>
      <c r="M42">
        <f>'Übersicht Score Index'!F42*Rezepte!AQ42</f>
        <v>0</v>
      </c>
      <c r="N42">
        <f>'Übersicht Score Index'!F42*Rezepte!AR42</f>
        <v>0</v>
      </c>
      <c r="O42">
        <f>'Übersicht Score Index'!G42*Rezepte!AP42</f>
        <v>0</v>
      </c>
      <c r="P42">
        <f>'Übersicht Score Index'!G42*Rezepte!AQ42</f>
        <v>0</v>
      </c>
      <c r="Q42">
        <f>'Übersicht Score Index'!G42*Rezepte!AR42</f>
        <v>0</v>
      </c>
      <c r="R42">
        <f>'Übersicht Score Index'!H42*Rezepte!AP42</f>
        <v>0</v>
      </c>
      <c r="S42">
        <f>'Übersicht Score Index'!H42*Rezepte!AQ42</f>
        <v>0</v>
      </c>
      <c r="T42">
        <f>'Übersicht Score Index'!H42*Rezepte!AR42</f>
        <v>0</v>
      </c>
      <c r="U42">
        <f>'Übersicht Score Index'!I42*Rezepte!AP42</f>
        <v>0</v>
      </c>
      <c r="V42">
        <f>'Übersicht Score Index'!I42*Rezepte!AQ42</f>
        <v>0</v>
      </c>
      <c r="W42">
        <f>'Übersicht Score Index'!I42*Rezepte!AR42</f>
        <v>0</v>
      </c>
    </row>
    <row r="43" spans="1:23" x14ac:dyDescent="0.3">
      <c r="A43" s="2" t="s">
        <v>91</v>
      </c>
      <c r="B43" s="2" t="s">
        <v>92</v>
      </c>
      <c r="C43">
        <f>'Übersicht Score Index'!C43*Rezepte!AP43</f>
        <v>0</v>
      </c>
      <c r="D43">
        <f>'Übersicht Score Index'!C43*Rezepte!AQ43</f>
        <v>0</v>
      </c>
      <c r="E43">
        <f>'Übersicht Score Index'!C43*Rezepte!AR43</f>
        <v>0</v>
      </c>
      <c r="F43">
        <f>'Übersicht Score Index'!D43*Rezepte!AP43</f>
        <v>0</v>
      </c>
      <c r="G43">
        <f>'Übersicht Score Index'!D43*Rezepte!AQ43</f>
        <v>0</v>
      </c>
      <c r="H43">
        <f>'Übersicht Score Index'!D43*Rezepte!AR43</f>
        <v>0</v>
      </c>
      <c r="I43">
        <f>'Übersicht Score Index'!E43*Rezepte!AP43</f>
        <v>0</v>
      </c>
      <c r="J43">
        <f>'Übersicht Score Index'!E43*Rezepte!AQ43</f>
        <v>0</v>
      </c>
      <c r="K43">
        <f>'Übersicht Score Index'!E43*Rezepte!AR43</f>
        <v>0</v>
      </c>
      <c r="L43">
        <f>'Übersicht Score Index'!F43*Rezepte!AP43</f>
        <v>0</v>
      </c>
      <c r="M43">
        <f>'Übersicht Score Index'!F43*Rezepte!AQ43</f>
        <v>0</v>
      </c>
      <c r="N43">
        <f>'Übersicht Score Index'!F43*Rezepte!AR43</f>
        <v>0</v>
      </c>
      <c r="O43">
        <f>'Übersicht Score Index'!G43*Rezepte!AP43</f>
        <v>0</v>
      </c>
      <c r="P43">
        <f>'Übersicht Score Index'!G43*Rezepte!AQ43</f>
        <v>0</v>
      </c>
      <c r="Q43">
        <f>'Übersicht Score Index'!G43*Rezepte!AR43</f>
        <v>0</v>
      </c>
      <c r="R43">
        <f>'Übersicht Score Index'!H43*Rezepte!AP43</f>
        <v>0</v>
      </c>
      <c r="S43">
        <f>'Übersicht Score Index'!H43*Rezepte!AQ43</f>
        <v>0</v>
      </c>
      <c r="T43">
        <f>'Übersicht Score Index'!H43*Rezepte!AR43</f>
        <v>0</v>
      </c>
      <c r="U43">
        <f>'Übersicht Score Index'!I43*Rezepte!AP43</f>
        <v>0</v>
      </c>
      <c r="V43">
        <f>'Übersicht Score Index'!I43*Rezepte!AQ43</f>
        <v>0</v>
      </c>
      <c r="W43">
        <f>'Übersicht Score Index'!I43*Rezepte!AR43</f>
        <v>0</v>
      </c>
    </row>
    <row r="44" spans="1:23" x14ac:dyDescent="0.3">
      <c r="A44" s="2" t="s">
        <v>93</v>
      </c>
      <c r="B44" s="2" t="s">
        <v>94</v>
      </c>
      <c r="C44">
        <f>'Übersicht Score Index'!C44*Rezepte!AP44</f>
        <v>0</v>
      </c>
      <c r="D44">
        <f>'Übersicht Score Index'!C44*Rezepte!AQ44</f>
        <v>0</v>
      </c>
      <c r="E44">
        <f>'Übersicht Score Index'!C44*Rezepte!AR44</f>
        <v>0</v>
      </c>
      <c r="F44">
        <f>'Übersicht Score Index'!D44*Rezepte!AP44</f>
        <v>0</v>
      </c>
      <c r="G44">
        <f>'Übersicht Score Index'!D44*Rezepte!AQ44</f>
        <v>0</v>
      </c>
      <c r="H44">
        <f>'Übersicht Score Index'!D44*Rezepte!AR44</f>
        <v>0</v>
      </c>
      <c r="I44">
        <f>'Übersicht Score Index'!E44*Rezepte!AP44</f>
        <v>0</v>
      </c>
      <c r="J44">
        <f>'Übersicht Score Index'!E44*Rezepte!AQ44</f>
        <v>0</v>
      </c>
      <c r="K44">
        <f>'Übersicht Score Index'!E44*Rezepte!AR44</f>
        <v>0</v>
      </c>
      <c r="L44">
        <f>'Übersicht Score Index'!F44*Rezepte!AP44</f>
        <v>0</v>
      </c>
      <c r="M44">
        <f>'Übersicht Score Index'!F44*Rezepte!AQ44</f>
        <v>0</v>
      </c>
      <c r="N44">
        <f>'Übersicht Score Index'!F44*Rezepte!AR44</f>
        <v>0</v>
      </c>
      <c r="O44">
        <f>'Übersicht Score Index'!G44*Rezepte!AP44</f>
        <v>0</v>
      </c>
      <c r="P44">
        <f>'Übersicht Score Index'!G44*Rezepte!AQ44</f>
        <v>0</v>
      </c>
      <c r="Q44">
        <f>'Übersicht Score Index'!G44*Rezepte!AR44</f>
        <v>0</v>
      </c>
      <c r="R44">
        <f>'Übersicht Score Index'!H44*Rezepte!AP44</f>
        <v>0</v>
      </c>
      <c r="S44">
        <f>'Übersicht Score Index'!H44*Rezepte!AQ44</f>
        <v>0</v>
      </c>
      <c r="T44">
        <f>'Übersicht Score Index'!H44*Rezepte!AR44</f>
        <v>0</v>
      </c>
      <c r="U44">
        <f>'Übersicht Score Index'!I44*Rezepte!AP44</f>
        <v>0</v>
      </c>
      <c r="V44">
        <f>'Übersicht Score Index'!I44*Rezepte!AQ44</f>
        <v>0</v>
      </c>
      <c r="W44">
        <f>'Übersicht Score Index'!I44*Rezepte!AR44</f>
        <v>0</v>
      </c>
    </row>
    <row r="45" spans="1:23" x14ac:dyDescent="0.3">
      <c r="A45" s="2" t="s">
        <v>95</v>
      </c>
      <c r="B45" s="2" t="s">
        <v>96</v>
      </c>
      <c r="C45">
        <f>'Übersicht Score Index'!C45*Rezepte!AP45</f>
        <v>0</v>
      </c>
      <c r="D45">
        <f>'Übersicht Score Index'!C45*Rezepte!AQ45</f>
        <v>0</v>
      </c>
      <c r="E45">
        <f>'Übersicht Score Index'!C45*Rezepte!AR45</f>
        <v>0</v>
      </c>
      <c r="F45">
        <f>'Übersicht Score Index'!D45*Rezepte!AP45</f>
        <v>0</v>
      </c>
      <c r="G45">
        <f>'Übersicht Score Index'!D45*Rezepte!AQ45</f>
        <v>0</v>
      </c>
      <c r="H45">
        <f>'Übersicht Score Index'!D45*Rezepte!AR45</f>
        <v>0</v>
      </c>
      <c r="I45">
        <f>'Übersicht Score Index'!E45*Rezepte!AP45</f>
        <v>0</v>
      </c>
      <c r="J45">
        <f>'Übersicht Score Index'!E45*Rezepte!AQ45</f>
        <v>0</v>
      </c>
      <c r="K45">
        <f>'Übersicht Score Index'!E45*Rezepte!AR45</f>
        <v>0</v>
      </c>
      <c r="L45">
        <f>'Übersicht Score Index'!F45*Rezepte!AP45</f>
        <v>5.2393510190537748E-4</v>
      </c>
      <c r="M45">
        <f>'Übersicht Score Index'!F45*Rezepte!AQ45</f>
        <v>2.6196755095268874E-4</v>
      </c>
      <c r="N45">
        <f>'Übersicht Score Index'!F45*Rezepte!AR45</f>
        <v>2.6196755095268874E-4</v>
      </c>
      <c r="O45">
        <f>'Übersicht Score Index'!G45*Rezepte!AP45</f>
        <v>0</v>
      </c>
      <c r="P45">
        <f>'Übersicht Score Index'!G45*Rezepte!AQ45</f>
        <v>0</v>
      </c>
      <c r="Q45">
        <f>'Übersicht Score Index'!G45*Rezepte!AR45</f>
        <v>0</v>
      </c>
      <c r="R45">
        <f>'Übersicht Score Index'!H45*Rezepte!AP45</f>
        <v>0</v>
      </c>
      <c r="S45">
        <f>'Übersicht Score Index'!H45*Rezepte!AQ45</f>
        <v>0</v>
      </c>
      <c r="T45">
        <f>'Übersicht Score Index'!H45*Rezepte!AR45</f>
        <v>0</v>
      </c>
      <c r="U45">
        <f>'Übersicht Score Index'!I45*Rezepte!AP45</f>
        <v>0</v>
      </c>
      <c r="V45">
        <f>'Übersicht Score Index'!I45*Rezepte!AQ45</f>
        <v>0</v>
      </c>
      <c r="W45">
        <f>'Übersicht Score Index'!I45*Rezepte!AR45</f>
        <v>0</v>
      </c>
    </row>
    <row r="46" spans="1:23" x14ac:dyDescent="0.3">
      <c r="A46" s="2" t="s">
        <v>97</v>
      </c>
      <c r="B46" s="2" t="s">
        <v>98</v>
      </c>
      <c r="C46">
        <f>'Übersicht Score Index'!C46*Rezepte!AP46</f>
        <v>0</v>
      </c>
      <c r="D46">
        <f>'Übersicht Score Index'!C46*Rezepte!AQ46</f>
        <v>0</v>
      </c>
      <c r="E46">
        <f>'Übersicht Score Index'!C46*Rezepte!AR46</f>
        <v>0</v>
      </c>
      <c r="F46">
        <f>'Übersicht Score Index'!D46*Rezepte!AP46</f>
        <v>0</v>
      </c>
      <c r="G46">
        <f>'Übersicht Score Index'!D46*Rezepte!AQ46</f>
        <v>0</v>
      </c>
      <c r="H46">
        <f>'Übersicht Score Index'!D46*Rezepte!AR46</f>
        <v>0</v>
      </c>
      <c r="I46">
        <f>'Übersicht Score Index'!E46*Rezepte!AP46</f>
        <v>0</v>
      </c>
      <c r="J46">
        <f>'Übersicht Score Index'!E46*Rezepte!AQ46</f>
        <v>0</v>
      </c>
      <c r="K46">
        <f>'Übersicht Score Index'!E46*Rezepte!AR46</f>
        <v>0</v>
      </c>
      <c r="L46">
        <f>'Übersicht Score Index'!F46*Rezepte!AP46</f>
        <v>0</v>
      </c>
      <c r="M46">
        <f>'Übersicht Score Index'!F46*Rezepte!AQ46</f>
        <v>0</v>
      </c>
      <c r="N46">
        <f>'Übersicht Score Index'!F46*Rezepte!AR46</f>
        <v>0</v>
      </c>
      <c r="O46">
        <f>'Übersicht Score Index'!G46*Rezepte!AP46</f>
        <v>0</v>
      </c>
      <c r="P46">
        <f>'Übersicht Score Index'!G46*Rezepte!AQ46</f>
        <v>0</v>
      </c>
      <c r="Q46">
        <f>'Übersicht Score Index'!G46*Rezepte!AR46</f>
        <v>0</v>
      </c>
      <c r="R46">
        <f>'Übersicht Score Index'!H46*Rezepte!AP46</f>
        <v>0</v>
      </c>
      <c r="S46">
        <f>'Übersicht Score Index'!H46*Rezepte!AQ46</f>
        <v>0</v>
      </c>
      <c r="T46">
        <f>'Übersicht Score Index'!H46*Rezepte!AR46</f>
        <v>0</v>
      </c>
      <c r="U46">
        <f>'Übersicht Score Index'!I46*Rezepte!AP46</f>
        <v>0</v>
      </c>
      <c r="V46">
        <f>'Übersicht Score Index'!I46*Rezepte!AQ46</f>
        <v>0</v>
      </c>
      <c r="W46">
        <f>'Übersicht Score Index'!I46*Rezepte!AR46</f>
        <v>0</v>
      </c>
    </row>
    <row r="47" spans="1:23" x14ac:dyDescent="0.3">
      <c r="A47" s="2" t="s">
        <v>99</v>
      </c>
      <c r="B47" s="2" t="s">
        <v>100</v>
      </c>
      <c r="C47">
        <f>'Übersicht Score Index'!C47*Rezepte!AP47</f>
        <v>4.0676738789773424E-2</v>
      </c>
      <c r="D47">
        <f>'Übersicht Score Index'!C47*Rezepte!AQ47</f>
        <v>2.0338369394886712E-2</v>
      </c>
      <c r="E47">
        <f>'Übersicht Score Index'!C47*Rezepte!AR47</f>
        <v>2.0338369394886716E-2</v>
      </c>
      <c r="F47">
        <f>'Übersicht Score Index'!D47*Rezepte!AP47</f>
        <v>6.1015108184660133E-2</v>
      </c>
      <c r="G47">
        <f>'Übersicht Score Index'!D47*Rezepte!AQ47</f>
        <v>3.0507554092330066E-2</v>
      </c>
      <c r="H47">
        <f>'Übersicht Score Index'!D47*Rezepte!AR47</f>
        <v>3.0507554092330073E-2</v>
      </c>
      <c r="I47">
        <f>'Übersicht Score Index'!E47*Rezepte!AP47</f>
        <v>0</v>
      </c>
      <c r="J47">
        <f>'Übersicht Score Index'!E47*Rezepte!AQ47</f>
        <v>0</v>
      </c>
      <c r="K47">
        <f>'Übersicht Score Index'!E47*Rezepte!AR47</f>
        <v>0</v>
      </c>
      <c r="L47">
        <f>'Übersicht Score Index'!F47*Rezepte!AP47</f>
        <v>0</v>
      </c>
      <c r="M47">
        <f>'Übersicht Score Index'!F47*Rezepte!AQ47</f>
        <v>0</v>
      </c>
      <c r="N47">
        <f>'Übersicht Score Index'!F47*Rezepte!AR47</f>
        <v>0</v>
      </c>
      <c r="O47">
        <f>'Übersicht Score Index'!G47*Rezepte!AP47</f>
        <v>0</v>
      </c>
      <c r="P47">
        <f>'Übersicht Score Index'!G47*Rezepte!AQ47</f>
        <v>0</v>
      </c>
      <c r="Q47">
        <f>'Übersicht Score Index'!G47*Rezepte!AR47</f>
        <v>0</v>
      </c>
      <c r="R47">
        <f>'Übersicht Score Index'!H47*Rezepte!AP47</f>
        <v>4.0676738789773424E-2</v>
      </c>
      <c r="S47">
        <f>'Übersicht Score Index'!H47*Rezepte!AQ47</f>
        <v>2.0338369394886712E-2</v>
      </c>
      <c r="T47">
        <f>'Übersicht Score Index'!H47*Rezepte!AR47</f>
        <v>2.0338369394886716E-2</v>
      </c>
      <c r="U47">
        <f>'Übersicht Score Index'!I47*Rezepte!AP47</f>
        <v>0</v>
      </c>
      <c r="V47">
        <f>'Übersicht Score Index'!I47*Rezepte!AQ47</f>
        <v>0</v>
      </c>
      <c r="W47">
        <f>'Übersicht Score Index'!I47*Rezepte!AR47</f>
        <v>0</v>
      </c>
    </row>
    <row r="48" spans="1:23" x14ac:dyDescent="0.3">
      <c r="A48" s="2" t="s">
        <v>101</v>
      </c>
      <c r="B48" s="2" t="s">
        <v>102</v>
      </c>
      <c r="C48">
        <f>'Übersicht Score Index'!C48*Rezepte!AP48</f>
        <v>0</v>
      </c>
      <c r="D48">
        <f>'Übersicht Score Index'!C48*Rezepte!AQ48</f>
        <v>0</v>
      </c>
      <c r="E48">
        <f>'Übersicht Score Index'!C48*Rezepte!AR48</f>
        <v>0</v>
      </c>
      <c r="F48">
        <f>'Übersicht Score Index'!D48*Rezepte!AP48</f>
        <v>0</v>
      </c>
      <c r="G48">
        <f>'Übersicht Score Index'!D48*Rezepte!AQ48</f>
        <v>0</v>
      </c>
      <c r="H48">
        <f>'Übersicht Score Index'!D48*Rezepte!AR48</f>
        <v>0</v>
      </c>
      <c r="I48">
        <f>'Übersicht Score Index'!E48*Rezepte!AP48</f>
        <v>0</v>
      </c>
      <c r="J48">
        <f>'Übersicht Score Index'!E48*Rezepte!AQ48</f>
        <v>0</v>
      </c>
      <c r="K48">
        <f>'Übersicht Score Index'!E48*Rezepte!AR48</f>
        <v>0</v>
      </c>
      <c r="L48">
        <f>'Übersicht Score Index'!F48*Rezepte!AP48</f>
        <v>0</v>
      </c>
      <c r="M48">
        <f>'Übersicht Score Index'!F48*Rezepte!AQ48</f>
        <v>0</v>
      </c>
      <c r="N48">
        <f>'Übersicht Score Index'!F48*Rezepte!AR48</f>
        <v>0</v>
      </c>
      <c r="O48">
        <f>'Übersicht Score Index'!G48*Rezepte!AP48</f>
        <v>0</v>
      </c>
      <c r="P48">
        <f>'Übersicht Score Index'!G48*Rezepte!AQ48</f>
        <v>0</v>
      </c>
      <c r="Q48">
        <f>'Übersicht Score Index'!G48*Rezepte!AR48</f>
        <v>0</v>
      </c>
      <c r="R48">
        <f>'Übersicht Score Index'!H48*Rezepte!AP48</f>
        <v>0</v>
      </c>
      <c r="S48">
        <f>'Übersicht Score Index'!H48*Rezepte!AQ48</f>
        <v>0</v>
      </c>
      <c r="T48">
        <f>'Übersicht Score Index'!H48*Rezepte!AR48</f>
        <v>0</v>
      </c>
      <c r="U48">
        <f>'Übersicht Score Index'!I48*Rezepte!AP48</f>
        <v>0</v>
      </c>
      <c r="V48">
        <f>'Übersicht Score Index'!I48*Rezepte!AQ48</f>
        <v>0</v>
      </c>
      <c r="W48">
        <f>'Übersicht Score Index'!I48*Rezepte!AR48</f>
        <v>0</v>
      </c>
    </row>
    <row r="49" spans="1:23" x14ac:dyDescent="0.3">
      <c r="A49" s="2" t="s">
        <v>103</v>
      </c>
      <c r="B49" s="2" t="s">
        <v>104</v>
      </c>
      <c r="C49">
        <f>'Übersicht Score Index'!C49*Rezepte!AP49</f>
        <v>0</v>
      </c>
      <c r="D49">
        <f>'Übersicht Score Index'!C49*Rezepte!AQ49</f>
        <v>0</v>
      </c>
      <c r="E49">
        <f>'Übersicht Score Index'!C49*Rezepte!AR49</f>
        <v>0</v>
      </c>
      <c r="F49">
        <f>'Übersicht Score Index'!D49*Rezepte!AP49</f>
        <v>0</v>
      </c>
      <c r="G49">
        <f>'Übersicht Score Index'!D49*Rezepte!AQ49</f>
        <v>0</v>
      </c>
      <c r="H49">
        <f>'Übersicht Score Index'!D49*Rezepte!AR49</f>
        <v>0</v>
      </c>
      <c r="I49">
        <f>'Übersicht Score Index'!E49*Rezepte!AP49</f>
        <v>0</v>
      </c>
      <c r="J49">
        <f>'Übersicht Score Index'!E49*Rezepte!AQ49</f>
        <v>0</v>
      </c>
      <c r="K49">
        <f>'Übersicht Score Index'!E49*Rezepte!AR49</f>
        <v>0</v>
      </c>
      <c r="L49">
        <f>'Übersicht Score Index'!F49*Rezepte!AP49</f>
        <v>0</v>
      </c>
      <c r="M49">
        <f>'Übersicht Score Index'!F49*Rezepte!AQ49</f>
        <v>0</v>
      </c>
      <c r="N49">
        <f>'Übersicht Score Index'!F49*Rezepte!AR49</f>
        <v>0</v>
      </c>
      <c r="O49">
        <f>'Übersicht Score Index'!G49*Rezepte!AP49</f>
        <v>0</v>
      </c>
      <c r="P49">
        <f>'Übersicht Score Index'!G49*Rezepte!AQ49</f>
        <v>0</v>
      </c>
      <c r="Q49">
        <f>'Übersicht Score Index'!G49*Rezepte!AR49</f>
        <v>0</v>
      </c>
      <c r="R49">
        <f>'Übersicht Score Index'!H49*Rezepte!AP49</f>
        <v>0</v>
      </c>
      <c r="S49">
        <f>'Übersicht Score Index'!H49*Rezepte!AQ49</f>
        <v>0</v>
      </c>
      <c r="T49">
        <f>'Übersicht Score Index'!H49*Rezepte!AR49</f>
        <v>0</v>
      </c>
      <c r="U49">
        <f>'Übersicht Score Index'!I49*Rezepte!AP49</f>
        <v>0</v>
      </c>
      <c r="V49">
        <f>'Übersicht Score Index'!I49*Rezepte!AQ49</f>
        <v>0</v>
      </c>
      <c r="W49">
        <f>'Übersicht Score Index'!I49*Rezepte!AR49</f>
        <v>0</v>
      </c>
    </row>
    <row r="50" spans="1:23" x14ac:dyDescent="0.3">
      <c r="A50" s="2" t="s">
        <v>105</v>
      </c>
      <c r="B50" s="2" t="s">
        <v>106</v>
      </c>
      <c r="C50">
        <f>'Übersicht Score Index'!C50*Rezepte!AP50</f>
        <v>0</v>
      </c>
      <c r="D50">
        <f>'Übersicht Score Index'!C50*Rezepte!AQ50</f>
        <v>0</v>
      </c>
      <c r="E50">
        <f>'Übersicht Score Index'!C50*Rezepte!AR50</f>
        <v>0</v>
      </c>
      <c r="F50">
        <f>'Übersicht Score Index'!D50*Rezepte!AP50</f>
        <v>0</v>
      </c>
      <c r="G50">
        <f>'Übersicht Score Index'!D50*Rezepte!AQ50</f>
        <v>0</v>
      </c>
      <c r="H50">
        <f>'Übersicht Score Index'!D50*Rezepte!AR50</f>
        <v>0</v>
      </c>
      <c r="I50">
        <f>'Übersicht Score Index'!E50*Rezepte!AP50</f>
        <v>0</v>
      </c>
      <c r="J50">
        <f>'Übersicht Score Index'!E50*Rezepte!AQ50</f>
        <v>0</v>
      </c>
      <c r="K50">
        <f>'Übersicht Score Index'!E50*Rezepte!AR50</f>
        <v>0</v>
      </c>
      <c r="L50">
        <f>'Übersicht Score Index'!F50*Rezepte!AP50</f>
        <v>0</v>
      </c>
      <c r="M50">
        <f>'Übersicht Score Index'!F50*Rezepte!AQ50</f>
        <v>0</v>
      </c>
      <c r="N50">
        <f>'Übersicht Score Index'!F50*Rezepte!AR50</f>
        <v>0</v>
      </c>
      <c r="O50">
        <f>'Übersicht Score Index'!G50*Rezepte!AP50</f>
        <v>0</v>
      </c>
      <c r="P50">
        <f>'Übersicht Score Index'!G50*Rezepte!AQ50</f>
        <v>0</v>
      </c>
      <c r="Q50">
        <f>'Übersicht Score Index'!G50*Rezepte!AR50</f>
        <v>0</v>
      </c>
      <c r="R50">
        <f>'Übersicht Score Index'!H50*Rezepte!AP50</f>
        <v>0</v>
      </c>
      <c r="S50">
        <f>'Übersicht Score Index'!H50*Rezepte!AQ50</f>
        <v>0</v>
      </c>
      <c r="T50">
        <f>'Übersicht Score Index'!H50*Rezepte!AR50</f>
        <v>0</v>
      </c>
      <c r="U50">
        <f>'Übersicht Score Index'!I50*Rezepte!AP50</f>
        <v>0</v>
      </c>
      <c r="V50">
        <f>'Übersicht Score Index'!I50*Rezepte!AQ50</f>
        <v>0</v>
      </c>
      <c r="W50">
        <f>'Übersicht Score Index'!I50*Rezepte!AR50</f>
        <v>0</v>
      </c>
    </row>
    <row r="51" spans="1:23" x14ac:dyDescent="0.3">
      <c r="A51" s="2" t="s">
        <v>107</v>
      </c>
      <c r="B51" s="2" t="s">
        <v>108</v>
      </c>
      <c r="C51">
        <f>'Übersicht Score Index'!C51*Rezepte!AP51</f>
        <v>0</v>
      </c>
      <c r="D51">
        <f>'Übersicht Score Index'!C51*Rezepte!AQ51</f>
        <v>0</v>
      </c>
      <c r="E51">
        <f>'Übersicht Score Index'!C51*Rezepte!AR51</f>
        <v>0</v>
      </c>
      <c r="F51">
        <f>'Übersicht Score Index'!D51*Rezepte!AP51</f>
        <v>0</v>
      </c>
      <c r="G51">
        <f>'Übersicht Score Index'!D51*Rezepte!AQ51</f>
        <v>0</v>
      </c>
      <c r="H51">
        <f>'Übersicht Score Index'!D51*Rezepte!AR51</f>
        <v>0</v>
      </c>
      <c r="I51">
        <f>'Übersicht Score Index'!E51*Rezepte!AP51</f>
        <v>0</v>
      </c>
      <c r="J51">
        <f>'Übersicht Score Index'!E51*Rezepte!AQ51</f>
        <v>0</v>
      </c>
      <c r="K51">
        <f>'Übersicht Score Index'!E51*Rezepte!AR51</f>
        <v>0</v>
      </c>
      <c r="L51">
        <f>'Übersicht Score Index'!F51*Rezepte!AP51</f>
        <v>0</v>
      </c>
      <c r="M51">
        <f>'Übersicht Score Index'!F51*Rezepte!AQ51</f>
        <v>0</v>
      </c>
      <c r="N51">
        <f>'Übersicht Score Index'!F51*Rezepte!AR51</f>
        <v>0</v>
      </c>
      <c r="O51">
        <f>'Übersicht Score Index'!G51*Rezepte!AP51</f>
        <v>0</v>
      </c>
      <c r="P51">
        <f>'Übersicht Score Index'!G51*Rezepte!AQ51</f>
        <v>0</v>
      </c>
      <c r="Q51">
        <f>'Übersicht Score Index'!G51*Rezepte!AR51</f>
        <v>0</v>
      </c>
      <c r="R51">
        <f>'Übersicht Score Index'!H51*Rezepte!AP51</f>
        <v>0</v>
      </c>
      <c r="S51">
        <f>'Übersicht Score Index'!H51*Rezepte!AQ51</f>
        <v>0</v>
      </c>
      <c r="T51">
        <f>'Übersicht Score Index'!H51*Rezepte!AR51</f>
        <v>0</v>
      </c>
      <c r="U51">
        <f>'Übersicht Score Index'!I51*Rezepte!AP51</f>
        <v>0</v>
      </c>
      <c r="V51">
        <f>'Übersicht Score Index'!I51*Rezepte!AQ51</f>
        <v>0</v>
      </c>
      <c r="W51">
        <f>'Übersicht Score Index'!I51*Rezepte!AR51</f>
        <v>0</v>
      </c>
    </row>
    <row r="52" spans="1:23" x14ac:dyDescent="0.3">
      <c r="A52" s="2" t="s">
        <v>109</v>
      </c>
      <c r="B52" s="2" t="s">
        <v>110</v>
      </c>
      <c r="C52">
        <f>'Übersicht Score Index'!C52*Rezepte!AP52</f>
        <v>0</v>
      </c>
      <c r="D52">
        <f>'Übersicht Score Index'!C52*Rezepte!AQ52</f>
        <v>0</v>
      </c>
      <c r="E52">
        <f>'Übersicht Score Index'!C52*Rezepte!AR52</f>
        <v>0</v>
      </c>
      <c r="F52">
        <f>'Übersicht Score Index'!D52*Rezepte!AP52</f>
        <v>0</v>
      </c>
      <c r="G52">
        <f>'Übersicht Score Index'!D52*Rezepte!AQ52</f>
        <v>0</v>
      </c>
      <c r="H52">
        <f>'Übersicht Score Index'!D52*Rezepte!AR52</f>
        <v>0</v>
      </c>
      <c r="I52">
        <f>'Übersicht Score Index'!E52*Rezepte!AP52</f>
        <v>0</v>
      </c>
      <c r="J52">
        <f>'Übersicht Score Index'!E52*Rezepte!AQ52</f>
        <v>0</v>
      </c>
      <c r="K52">
        <f>'Übersicht Score Index'!E52*Rezepte!AR52</f>
        <v>0</v>
      </c>
      <c r="L52">
        <f>'Übersicht Score Index'!F52*Rezepte!AP52</f>
        <v>0</v>
      </c>
      <c r="M52">
        <f>'Übersicht Score Index'!F52*Rezepte!AQ52</f>
        <v>0</v>
      </c>
      <c r="N52">
        <f>'Übersicht Score Index'!F52*Rezepte!AR52</f>
        <v>0</v>
      </c>
      <c r="O52">
        <f>'Übersicht Score Index'!G52*Rezepte!AP52</f>
        <v>0</v>
      </c>
      <c r="P52">
        <f>'Übersicht Score Index'!G52*Rezepte!AQ52</f>
        <v>0</v>
      </c>
      <c r="Q52">
        <f>'Übersicht Score Index'!G52*Rezepte!AR52</f>
        <v>0</v>
      </c>
      <c r="R52">
        <f>'Übersicht Score Index'!H52*Rezepte!AP52</f>
        <v>0</v>
      </c>
      <c r="S52">
        <f>'Übersicht Score Index'!H52*Rezepte!AQ52</f>
        <v>0</v>
      </c>
      <c r="T52">
        <f>'Übersicht Score Index'!H52*Rezepte!AR52</f>
        <v>0</v>
      </c>
      <c r="U52">
        <f>'Übersicht Score Index'!I52*Rezepte!AP52</f>
        <v>0</v>
      </c>
      <c r="V52">
        <f>'Übersicht Score Index'!I52*Rezepte!AQ52</f>
        <v>0</v>
      </c>
      <c r="W52">
        <f>'Übersicht Score Index'!I52*Rezepte!AR52</f>
        <v>0</v>
      </c>
    </row>
    <row r="53" spans="1:23" x14ac:dyDescent="0.3">
      <c r="A53" s="2" t="s">
        <v>111</v>
      </c>
      <c r="B53" s="2" t="s">
        <v>112</v>
      </c>
      <c r="C53">
        <f>'Übersicht Score Index'!C53*Rezepte!AP53</f>
        <v>8.0344211866653747E-2</v>
      </c>
      <c r="D53">
        <f>'Übersicht Score Index'!C53*Rezepte!AQ53</f>
        <v>4.0172105933326874E-2</v>
      </c>
      <c r="E53">
        <f>'Übersicht Score Index'!C53*Rezepte!AR53</f>
        <v>4.0172105933326874E-2</v>
      </c>
      <c r="F53">
        <f>'Übersicht Score Index'!D53*Rezepte!AP53</f>
        <v>8.0344211866653747E-2</v>
      </c>
      <c r="G53">
        <f>'Übersicht Score Index'!D53*Rezepte!AQ53</f>
        <v>4.0172105933326874E-2</v>
      </c>
      <c r="H53">
        <f>'Übersicht Score Index'!D53*Rezepte!AR53</f>
        <v>4.0172105933326874E-2</v>
      </c>
      <c r="I53">
        <f>'Übersicht Score Index'!E53*Rezepte!AP53</f>
        <v>0.20086052966663437</v>
      </c>
      <c r="J53">
        <f>'Übersicht Score Index'!E53*Rezepte!AQ53</f>
        <v>0.10043026483331718</v>
      </c>
      <c r="K53">
        <f>'Übersicht Score Index'!E53*Rezepte!AR53</f>
        <v>0.10043026483331718</v>
      </c>
      <c r="L53">
        <f>'Übersicht Score Index'!F53*Rezepte!AP53</f>
        <v>8.0344211866653747E-2</v>
      </c>
      <c r="M53">
        <f>'Übersicht Score Index'!F53*Rezepte!AQ53</f>
        <v>4.0172105933326874E-2</v>
      </c>
      <c r="N53">
        <f>'Übersicht Score Index'!F53*Rezepte!AR53</f>
        <v>4.0172105933326874E-2</v>
      </c>
      <c r="O53">
        <f>'Übersicht Score Index'!G53*Rezepte!AP53</f>
        <v>8.0344211866653747E-2</v>
      </c>
      <c r="P53">
        <f>'Übersicht Score Index'!G53*Rezepte!AQ53</f>
        <v>4.0172105933326874E-2</v>
      </c>
      <c r="Q53">
        <f>'Übersicht Score Index'!G53*Rezepte!AR53</f>
        <v>4.0172105933326874E-2</v>
      </c>
      <c r="R53">
        <f>'Übersicht Score Index'!H53*Rezepte!AP53</f>
        <v>8.0344211866653747E-2</v>
      </c>
      <c r="S53">
        <f>'Übersicht Score Index'!H53*Rezepte!AQ53</f>
        <v>4.0172105933326874E-2</v>
      </c>
      <c r="T53">
        <f>'Übersicht Score Index'!H53*Rezepte!AR53</f>
        <v>4.0172105933326874E-2</v>
      </c>
      <c r="U53">
        <f>'Übersicht Score Index'!I53*Rezepte!AP53</f>
        <v>0</v>
      </c>
      <c r="V53">
        <f>'Übersicht Score Index'!I53*Rezepte!AQ53</f>
        <v>0</v>
      </c>
      <c r="W53">
        <f>'Übersicht Score Index'!I53*Rezepte!AR53</f>
        <v>0</v>
      </c>
    </row>
    <row r="54" spans="1:23" x14ac:dyDescent="0.3">
      <c r="A54" s="2" t="s">
        <v>113</v>
      </c>
      <c r="B54" s="2" t="s">
        <v>114</v>
      </c>
      <c r="C54">
        <f>'Übersicht Score Index'!C54*Rezepte!AP54</f>
        <v>0</v>
      </c>
      <c r="D54">
        <f>'Übersicht Score Index'!C54*Rezepte!AQ54</f>
        <v>0</v>
      </c>
      <c r="E54">
        <f>'Übersicht Score Index'!C54*Rezepte!AR54</f>
        <v>0</v>
      </c>
      <c r="F54">
        <f>'Übersicht Score Index'!D54*Rezepte!AP54</f>
        <v>0</v>
      </c>
      <c r="G54">
        <f>'Übersicht Score Index'!D54*Rezepte!AQ54</f>
        <v>0</v>
      </c>
      <c r="H54">
        <f>'Übersicht Score Index'!D54*Rezepte!AR54</f>
        <v>0</v>
      </c>
      <c r="I54">
        <f>'Übersicht Score Index'!E54*Rezepte!AP54</f>
        <v>0</v>
      </c>
      <c r="J54">
        <f>'Übersicht Score Index'!E54*Rezepte!AQ54</f>
        <v>0</v>
      </c>
      <c r="K54">
        <f>'Übersicht Score Index'!E54*Rezepte!AR54</f>
        <v>0</v>
      </c>
      <c r="L54">
        <f>'Übersicht Score Index'!F54*Rezepte!AP54</f>
        <v>0</v>
      </c>
      <c r="M54">
        <f>'Übersicht Score Index'!F54*Rezepte!AQ54</f>
        <v>0</v>
      </c>
      <c r="N54">
        <f>'Übersicht Score Index'!F54*Rezepte!AR54</f>
        <v>0</v>
      </c>
      <c r="O54">
        <f>'Übersicht Score Index'!G54*Rezepte!AP54</f>
        <v>0</v>
      </c>
      <c r="P54">
        <f>'Übersicht Score Index'!G54*Rezepte!AQ54</f>
        <v>0</v>
      </c>
      <c r="Q54">
        <f>'Übersicht Score Index'!G54*Rezepte!AR54</f>
        <v>0</v>
      </c>
      <c r="R54">
        <f>'Übersicht Score Index'!H54*Rezepte!AP54</f>
        <v>0</v>
      </c>
      <c r="S54">
        <f>'Übersicht Score Index'!H54*Rezepte!AQ54</f>
        <v>0</v>
      </c>
      <c r="T54">
        <f>'Übersicht Score Index'!H54*Rezepte!AR54</f>
        <v>0</v>
      </c>
      <c r="U54">
        <f>'Übersicht Score Index'!I54*Rezepte!AP54</f>
        <v>0</v>
      </c>
      <c r="V54">
        <f>'Übersicht Score Index'!I54*Rezepte!AQ54</f>
        <v>0</v>
      </c>
      <c r="W54">
        <f>'Übersicht Score Index'!I54*Rezepte!AR54</f>
        <v>0</v>
      </c>
    </row>
    <row r="55" spans="1:23" x14ac:dyDescent="0.3">
      <c r="A55" s="2" t="s">
        <v>115</v>
      </c>
      <c r="B55" s="2" t="s">
        <v>116</v>
      </c>
      <c r="C55">
        <f>'Übersicht Score Index'!C55*Rezepte!AP55</f>
        <v>0</v>
      </c>
      <c r="D55">
        <f>'Übersicht Score Index'!C55*Rezepte!AQ55</f>
        <v>0</v>
      </c>
      <c r="E55">
        <f>'Übersicht Score Index'!C55*Rezepte!AR55</f>
        <v>0</v>
      </c>
      <c r="F55">
        <f>'Übersicht Score Index'!D55*Rezepte!AP55</f>
        <v>0</v>
      </c>
      <c r="G55">
        <f>'Übersicht Score Index'!D55*Rezepte!AQ55</f>
        <v>0</v>
      </c>
      <c r="H55">
        <f>'Übersicht Score Index'!D55*Rezepte!AR55</f>
        <v>0</v>
      </c>
      <c r="I55">
        <f>'Übersicht Score Index'!E55*Rezepte!AP55</f>
        <v>4.6690086929565659E-2</v>
      </c>
      <c r="J55">
        <f>'Übersicht Score Index'!E55*Rezepte!AQ55</f>
        <v>2.334504346478283E-2</v>
      </c>
      <c r="K55">
        <f>'Übersicht Score Index'!E55*Rezepte!AR55</f>
        <v>2.3345043464782826E-2</v>
      </c>
      <c r="L55">
        <f>'Übersicht Score Index'!F55*Rezepte!AP55</f>
        <v>0</v>
      </c>
      <c r="M55">
        <f>'Übersicht Score Index'!F55*Rezepte!AQ55</f>
        <v>0</v>
      </c>
      <c r="N55">
        <f>'Übersicht Score Index'!F55*Rezepte!AR55</f>
        <v>0</v>
      </c>
      <c r="O55">
        <f>'Übersicht Score Index'!G55*Rezepte!AP55</f>
        <v>0</v>
      </c>
      <c r="P55">
        <f>'Übersicht Score Index'!G55*Rezepte!AQ55</f>
        <v>0</v>
      </c>
      <c r="Q55">
        <f>'Übersicht Score Index'!G55*Rezepte!AR55</f>
        <v>0</v>
      </c>
      <c r="R55">
        <f>'Übersicht Score Index'!H55*Rezepte!AP55</f>
        <v>0</v>
      </c>
      <c r="S55">
        <f>'Übersicht Score Index'!H55*Rezepte!AQ55</f>
        <v>0</v>
      </c>
      <c r="T55">
        <f>'Übersicht Score Index'!H55*Rezepte!AR55</f>
        <v>0</v>
      </c>
      <c r="U55">
        <f>'Übersicht Score Index'!I55*Rezepte!AP55</f>
        <v>0</v>
      </c>
      <c r="V55">
        <f>'Übersicht Score Index'!I55*Rezepte!AQ55</f>
        <v>0</v>
      </c>
      <c r="W55">
        <f>'Übersicht Score Index'!I55*Rezepte!AR55</f>
        <v>0</v>
      </c>
    </row>
    <row r="56" spans="1:23" x14ac:dyDescent="0.3">
      <c r="A56" s="2" t="s">
        <v>117</v>
      </c>
      <c r="B56" s="2" t="s">
        <v>118</v>
      </c>
      <c r="C56">
        <f>'Übersicht Score Index'!C56*Rezepte!AP56</f>
        <v>0</v>
      </c>
      <c r="D56">
        <f>'Übersicht Score Index'!C56*Rezepte!AQ56</f>
        <v>0</v>
      </c>
      <c r="E56">
        <f>'Übersicht Score Index'!C56*Rezepte!AR56</f>
        <v>0</v>
      </c>
      <c r="F56">
        <f>'Übersicht Score Index'!D56*Rezepte!AP56</f>
        <v>0</v>
      </c>
      <c r="G56">
        <f>'Übersicht Score Index'!D56*Rezepte!AQ56</f>
        <v>0</v>
      </c>
      <c r="H56">
        <f>'Übersicht Score Index'!D56*Rezepte!AR56</f>
        <v>0</v>
      </c>
      <c r="I56">
        <f>'Übersicht Score Index'!E56*Rezepte!AP56</f>
        <v>0</v>
      </c>
      <c r="J56">
        <f>'Übersicht Score Index'!E56*Rezepte!AQ56</f>
        <v>0</v>
      </c>
      <c r="K56">
        <f>'Übersicht Score Index'!E56*Rezepte!AR56</f>
        <v>0</v>
      </c>
      <c r="L56">
        <f>'Übersicht Score Index'!F56*Rezepte!AP56</f>
        <v>0</v>
      </c>
      <c r="M56">
        <f>'Übersicht Score Index'!F56*Rezepte!AQ56</f>
        <v>0</v>
      </c>
      <c r="N56">
        <f>'Übersicht Score Index'!F56*Rezepte!AR56</f>
        <v>0</v>
      </c>
      <c r="O56">
        <f>'Übersicht Score Index'!G56*Rezepte!AP56</f>
        <v>0</v>
      </c>
      <c r="P56">
        <f>'Übersicht Score Index'!G56*Rezepte!AQ56</f>
        <v>0</v>
      </c>
      <c r="Q56">
        <f>'Übersicht Score Index'!G56*Rezepte!AR56</f>
        <v>0</v>
      </c>
      <c r="R56">
        <f>'Übersicht Score Index'!H56*Rezepte!AP56</f>
        <v>0</v>
      </c>
      <c r="S56">
        <f>'Übersicht Score Index'!H56*Rezepte!AQ56</f>
        <v>0</v>
      </c>
      <c r="T56">
        <f>'Übersicht Score Index'!H56*Rezepte!AR56</f>
        <v>0</v>
      </c>
      <c r="U56">
        <f>'Übersicht Score Index'!I56*Rezepte!AP56</f>
        <v>0</v>
      </c>
      <c r="V56">
        <f>'Übersicht Score Index'!I56*Rezepte!AQ56</f>
        <v>0</v>
      </c>
      <c r="W56">
        <f>'Übersicht Score Index'!I56*Rezepte!AR56</f>
        <v>0</v>
      </c>
    </row>
    <row r="57" spans="1:23" x14ac:dyDescent="0.3">
      <c r="A57" s="2" t="s">
        <v>119</v>
      </c>
      <c r="B57" s="2" t="s">
        <v>120</v>
      </c>
      <c r="C57">
        <f>'Übersicht Score Index'!C57*Rezepte!AP57</f>
        <v>0</v>
      </c>
      <c r="D57">
        <f>'Übersicht Score Index'!C57*Rezepte!AQ57</f>
        <v>0</v>
      </c>
      <c r="E57">
        <f>'Übersicht Score Index'!C57*Rezepte!AR57</f>
        <v>0</v>
      </c>
      <c r="F57">
        <f>'Übersicht Score Index'!D57*Rezepte!AP57</f>
        <v>0</v>
      </c>
      <c r="G57">
        <f>'Übersicht Score Index'!D57*Rezepte!AQ57</f>
        <v>0</v>
      </c>
      <c r="H57">
        <f>'Übersicht Score Index'!D57*Rezepte!AR57</f>
        <v>0</v>
      </c>
      <c r="I57">
        <f>'Übersicht Score Index'!E57*Rezepte!AP57</f>
        <v>0</v>
      </c>
      <c r="J57">
        <f>'Übersicht Score Index'!E57*Rezepte!AQ57</f>
        <v>0</v>
      </c>
      <c r="K57">
        <f>'Übersicht Score Index'!E57*Rezepte!AR57</f>
        <v>0</v>
      </c>
      <c r="L57">
        <f>'Übersicht Score Index'!F57*Rezepte!AP57</f>
        <v>0</v>
      </c>
      <c r="M57">
        <f>'Übersicht Score Index'!F57*Rezepte!AQ57</f>
        <v>0</v>
      </c>
      <c r="N57">
        <f>'Übersicht Score Index'!F57*Rezepte!AR57</f>
        <v>0</v>
      </c>
      <c r="O57">
        <f>'Übersicht Score Index'!G57*Rezepte!AP57</f>
        <v>0</v>
      </c>
      <c r="P57">
        <f>'Übersicht Score Index'!G57*Rezepte!AQ57</f>
        <v>0</v>
      </c>
      <c r="Q57">
        <f>'Übersicht Score Index'!G57*Rezepte!AR57</f>
        <v>0</v>
      </c>
      <c r="R57">
        <f>'Übersicht Score Index'!H57*Rezepte!AP57</f>
        <v>0</v>
      </c>
      <c r="S57">
        <f>'Übersicht Score Index'!H57*Rezepte!AQ57</f>
        <v>0</v>
      </c>
      <c r="T57">
        <f>'Übersicht Score Index'!H57*Rezepte!AR57</f>
        <v>0</v>
      </c>
      <c r="U57">
        <f>'Übersicht Score Index'!I57*Rezepte!AP57</f>
        <v>0</v>
      </c>
      <c r="V57">
        <f>'Übersicht Score Index'!I57*Rezepte!AQ57</f>
        <v>0</v>
      </c>
      <c r="W57">
        <f>'Übersicht Score Index'!I57*Rezepte!AR57</f>
        <v>0</v>
      </c>
    </row>
    <row r="58" spans="1:23" x14ac:dyDescent="0.3">
      <c r="A58" s="2" t="s">
        <v>121</v>
      </c>
      <c r="B58" s="2" t="s">
        <v>122</v>
      </c>
      <c r="C58">
        <f>'Übersicht Score Index'!C58*Rezepte!AP58</f>
        <v>0</v>
      </c>
      <c r="D58">
        <f>'Übersicht Score Index'!C58*Rezepte!AQ58</f>
        <v>0</v>
      </c>
      <c r="E58">
        <f>'Übersicht Score Index'!C58*Rezepte!AR58</f>
        <v>0</v>
      </c>
      <c r="F58">
        <f>'Übersicht Score Index'!D58*Rezepte!AP58</f>
        <v>0</v>
      </c>
      <c r="G58">
        <f>'Übersicht Score Index'!D58*Rezepte!AQ58</f>
        <v>0</v>
      </c>
      <c r="H58">
        <f>'Übersicht Score Index'!D58*Rezepte!AR58</f>
        <v>0</v>
      </c>
      <c r="I58">
        <f>'Übersicht Score Index'!E58*Rezepte!AP58</f>
        <v>0</v>
      </c>
      <c r="J58">
        <f>'Übersicht Score Index'!E58*Rezepte!AQ58</f>
        <v>0</v>
      </c>
      <c r="K58">
        <f>'Übersicht Score Index'!E58*Rezepte!AR58</f>
        <v>0</v>
      </c>
      <c r="L58">
        <f>'Übersicht Score Index'!F58*Rezepte!AP58</f>
        <v>0</v>
      </c>
      <c r="M58">
        <f>'Übersicht Score Index'!F58*Rezepte!AQ58</f>
        <v>0</v>
      </c>
      <c r="N58">
        <f>'Übersicht Score Index'!F58*Rezepte!AR58</f>
        <v>0</v>
      </c>
      <c r="O58">
        <f>'Übersicht Score Index'!G58*Rezepte!AP58</f>
        <v>0</v>
      </c>
      <c r="P58">
        <f>'Übersicht Score Index'!G58*Rezepte!AQ58</f>
        <v>0</v>
      </c>
      <c r="Q58">
        <f>'Übersicht Score Index'!G58*Rezepte!AR58</f>
        <v>0</v>
      </c>
      <c r="R58">
        <f>'Übersicht Score Index'!H58*Rezepte!AP58</f>
        <v>0</v>
      </c>
      <c r="S58">
        <f>'Übersicht Score Index'!H58*Rezepte!AQ58</f>
        <v>0</v>
      </c>
      <c r="T58">
        <f>'Übersicht Score Index'!H58*Rezepte!AR58</f>
        <v>0</v>
      </c>
      <c r="U58">
        <f>'Übersicht Score Index'!I58*Rezepte!AP58</f>
        <v>0</v>
      </c>
      <c r="V58">
        <f>'Übersicht Score Index'!I58*Rezepte!AQ58</f>
        <v>0</v>
      </c>
      <c r="W58">
        <f>'Übersicht Score Index'!I58*Rezepte!AR58</f>
        <v>0</v>
      </c>
    </row>
    <row r="59" spans="1:23" x14ac:dyDescent="0.3">
      <c r="A59" s="2" t="s">
        <v>123</v>
      </c>
      <c r="B59" s="2" t="s">
        <v>124</v>
      </c>
      <c r="C59">
        <f>'Übersicht Score Index'!C59*Rezepte!AP59</f>
        <v>0</v>
      </c>
      <c r="D59">
        <f>'Übersicht Score Index'!C59*Rezepte!AQ59</f>
        <v>0</v>
      </c>
      <c r="E59">
        <f>'Übersicht Score Index'!C59*Rezepte!AR59</f>
        <v>0</v>
      </c>
      <c r="F59">
        <f>'Übersicht Score Index'!D59*Rezepte!AP59</f>
        <v>0</v>
      </c>
      <c r="G59">
        <f>'Übersicht Score Index'!D59*Rezepte!AQ59</f>
        <v>0</v>
      </c>
      <c r="H59">
        <f>'Übersicht Score Index'!D59*Rezepte!AR59</f>
        <v>0</v>
      </c>
      <c r="I59">
        <f>'Übersicht Score Index'!E59*Rezepte!AP59</f>
        <v>0</v>
      </c>
      <c r="J59">
        <f>'Übersicht Score Index'!E59*Rezepte!AQ59</f>
        <v>0</v>
      </c>
      <c r="K59">
        <f>'Übersicht Score Index'!E59*Rezepte!AR59</f>
        <v>0</v>
      </c>
      <c r="L59">
        <f>'Übersicht Score Index'!F59*Rezepte!AP59</f>
        <v>0</v>
      </c>
      <c r="M59">
        <f>'Übersicht Score Index'!F59*Rezepte!AQ59</f>
        <v>0</v>
      </c>
      <c r="N59">
        <f>'Übersicht Score Index'!F59*Rezepte!AR59</f>
        <v>0</v>
      </c>
      <c r="O59">
        <f>'Übersicht Score Index'!G59*Rezepte!AP59</f>
        <v>0</v>
      </c>
      <c r="P59">
        <f>'Übersicht Score Index'!G59*Rezepte!AQ59</f>
        <v>0</v>
      </c>
      <c r="Q59">
        <f>'Übersicht Score Index'!G59*Rezepte!AR59</f>
        <v>0</v>
      </c>
      <c r="R59">
        <f>'Übersicht Score Index'!H59*Rezepte!AP59</f>
        <v>0</v>
      </c>
      <c r="S59">
        <f>'Übersicht Score Index'!H59*Rezepte!AQ59</f>
        <v>0</v>
      </c>
      <c r="T59">
        <f>'Übersicht Score Index'!H59*Rezepte!AR59</f>
        <v>0</v>
      </c>
      <c r="U59">
        <f>'Übersicht Score Index'!I59*Rezepte!AP59</f>
        <v>0</v>
      </c>
      <c r="V59">
        <f>'Übersicht Score Index'!I59*Rezepte!AQ59</f>
        <v>0</v>
      </c>
      <c r="W59">
        <f>'Übersicht Score Index'!I59*Rezepte!AR59</f>
        <v>0</v>
      </c>
    </row>
    <row r="60" spans="1:23" x14ac:dyDescent="0.3">
      <c r="A60" s="2" t="s">
        <v>125</v>
      </c>
      <c r="B60" s="2" t="s">
        <v>126</v>
      </c>
      <c r="C60">
        <f>'Übersicht Score Index'!C60*Rezepte!AP60</f>
        <v>0</v>
      </c>
      <c r="D60">
        <f>'Übersicht Score Index'!C60*Rezepte!AQ60</f>
        <v>0</v>
      </c>
      <c r="E60">
        <f>'Übersicht Score Index'!C60*Rezepte!AR60</f>
        <v>0</v>
      </c>
      <c r="F60">
        <f>'Übersicht Score Index'!D60*Rezepte!AP60</f>
        <v>0</v>
      </c>
      <c r="G60">
        <f>'Übersicht Score Index'!D60*Rezepte!AQ60</f>
        <v>0</v>
      </c>
      <c r="H60">
        <f>'Übersicht Score Index'!D60*Rezepte!AR60</f>
        <v>0</v>
      </c>
      <c r="I60">
        <f>'Übersicht Score Index'!E60*Rezepte!AP60</f>
        <v>0</v>
      </c>
      <c r="J60">
        <f>'Übersicht Score Index'!E60*Rezepte!AQ60</f>
        <v>0</v>
      </c>
      <c r="K60">
        <f>'Übersicht Score Index'!E60*Rezepte!AR60</f>
        <v>0</v>
      </c>
      <c r="L60">
        <f>'Übersicht Score Index'!F60*Rezepte!AP60</f>
        <v>0</v>
      </c>
      <c r="M60">
        <f>'Übersicht Score Index'!F60*Rezepte!AQ60</f>
        <v>0</v>
      </c>
      <c r="N60">
        <f>'Übersicht Score Index'!F60*Rezepte!AR60</f>
        <v>0</v>
      </c>
      <c r="O60">
        <f>'Übersicht Score Index'!G60*Rezepte!AP60</f>
        <v>0</v>
      </c>
      <c r="P60">
        <f>'Übersicht Score Index'!G60*Rezepte!AQ60</f>
        <v>0</v>
      </c>
      <c r="Q60">
        <f>'Übersicht Score Index'!G60*Rezepte!AR60</f>
        <v>0</v>
      </c>
      <c r="R60">
        <f>'Übersicht Score Index'!H60*Rezepte!AP60</f>
        <v>0</v>
      </c>
      <c r="S60">
        <f>'Übersicht Score Index'!H60*Rezepte!AQ60</f>
        <v>0</v>
      </c>
      <c r="T60">
        <f>'Übersicht Score Index'!H60*Rezepte!AR60</f>
        <v>0</v>
      </c>
      <c r="U60">
        <f>'Übersicht Score Index'!I60*Rezepte!AP60</f>
        <v>0</v>
      </c>
      <c r="V60">
        <f>'Übersicht Score Index'!I60*Rezepte!AQ60</f>
        <v>0</v>
      </c>
      <c r="W60">
        <f>'Übersicht Score Index'!I60*Rezepte!AR60</f>
        <v>0</v>
      </c>
    </row>
    <row r="61" spans="1:23" x14ac:dyDescent="0.3">
      <c r="A61" s="2" t="s">
        <v>127</v>
      </c>
      <c r="B61" s="2" t="s">
        <v>128</v>
      </c>
      <c r="C61">
        <f>'Übersicht Score Index'!C61*Rezepte!AP61</f>
        <v>0</v>
      </c>
      <c r="D61">
        <f>'Übersicht Score Index'!C61*Rezepte!AQ61</f>
        <v>0</v>
      </c>
      <c r="E61">
        <f>'Übersicht Score Index'!C61*Rezepte!AR61</f>
        <v>0</v>
      </c>
      <c r="F61">
        <f>'Übersicht Score Index'!D61*Rezepte!AP61</f>
        <v>0</v>
      </c>
      <c r="G61">
        <f>'Übersicht Score Index'!D61*Rezepte!AQ61</f>
        <v>0</v>
      </c>
      <c r="H61">
        <f>'Übersicht Score Index'!D61*Rezepte!AR61</f>
        <v>0</v>
      </c>
      <c r="I61">
        <f>'Übersicht Score Index'!E61*Rezepte!AP61</f>
        <v>0</v>
      </c>
      <c r="J61">
        <f>'Übersicht Score Index'!E61*Rezepte!AQ61</f>
        <v>0</v>
      </c>
      <c r="K61">
        <f>'Übersicht Score Index'!E61*Rezepte!AR61</f>
        <v>0</v>
      </c>
      <c r="L61">
        <f>'Übersicht Score Index'!F61*Rezepte!AP61</f>
        <v>0</v>
      </c>
      <c r="M61">
        <f>'Übersicht Score Index'!F61*Rezepte!AQ61</f>
        <v>0</v>
      </c>
      <c r="N61">
        <f>'Übersicht Score Index'!F61*Rezepte!AR61</f>
        <v>0</v>
      </c>
      <c r="O61">
        <f>'Übersicht Score Index'!G61*Rezepte!AP61</f>
        <v>0</v>
      </c>
      <c r="P61">
        <f>'Übersicht Score Index'!G61*Rezepte!AQ61</f>
        <v>0</v>
      </c>
      <c r="Q61">
        <f>'Übersicht Score Index'!G61*Rezepte!AR61</f>
        <v>0</v>
      </c>
      <c r="R61">
        <f>'Übersicht Score Index'!H61*Rezepte!AP61</f>
        <v>0</v>
      </c>
      <c r="S61">
        <f>'Übersicht Score Index'!H61*Rezepte!AQ61</f>
        <v>0</v>
      </c>
      <c r="T61">
        <f>'Übersicht Score Index'!H61*Rezepte!AR61</f>
        <v>0</v>
      </c>
      <c r="U61">
        <f>'Übersicht Score Index'!I61*Rezepte!AP61</f>
        <v>0</v>
      </c>
      <c r="V61">
        <f>'Übersicht Score Index'!I61*Rezepte!AQ61</f>
        <v>0</v>
      </c>
      <c r="W61">
        <f>'Übersicht Score Index'!I61*Rezepte!AR61</f>
        <v>0</v>
      </c>
    </row>
    <row r="62" spans="1:23" x14ac:dyDescent="0.3">
      <c r="A62" s="5" t="s">
        <v>129</v>
      </c>
      <c r="B62" s="2" t="s">
        <v>130</v>
      </c>
      <c r="C62">
        <f>'Übersicht Score Index'!C62*Rezepte!AP62</f>
        <v>0</v>
      </c>
      <c r="D62">
        <f>'Übersicht Score Index'!C62*Rezepte!AQ62</f>
        <v>0</v>
      </c>
      <c r="E62">
        <f>'Übersicht Score Index'!C62*Rezepte!AR62</f>
        <v>0</v>
      </c>
      <c r="F62">
        <f>'Übersicht Score Index'!D62*Rezepte!AP62</f>
        <v>6.9159433451509808E-2</v>
      </c>
      <c r="G62">
        <f>'Übersicht Score Index'!D62*Rezepte!AQ62</f>
        <v>3.4579716725754904E-2</v>
      </c>
      <c r="H62">
        <f>'Übersicht Score Index'!D62*Rezepte!AR62</f>
        <v>3.4579716725754904E-2</v>
      </c>
      <c r="I62">
        <f>'Übersicht Score Index'!E62*Rezepte!AP62</f>
        <v>0</v>
      </c>
      <c r="J62">
        <f>'Übersicht Score Index'!E62*Rezepte!AQ62</f>
        <v>0</v>
      </c>
      <c r="K62">
        <f>'Übersicht Score Index'!E62*Rezepte!AR62</f>
        <v>0</v>
      </c>
      <c r="L62">
        <f>'Übersicht Score Index'!F62*Rezepte!AP62</f>
        <v>0</v>
      </c>
      <c r="M62">
        <f>'Übersicht Score Index'!F62*Rezepte!AQ62</f>
        <v>0</v>
      </c>
      <c r="N62">
        <f>'Übersicht Score Index'!F62*Rezepte!AR62</f>
        <v>0</v>
      </c>
      <c r="O62">
        <f>'Übersicht Score Index'!G62*Rezepte!AP62</f>
        <v>0</v>
      </c>
      <c r="P62">
        <f>'Übersicht Score Index'!G62*Rezepte!AQ62</f>
        <v>0</v>
      </c>
      <c r="Q62">
        <f>'Übersicht Score Index'!G62*Rezepte!AR62</f>
        <v>0</v>
      </c>
      <c r="R62">
        <f>'Übersicht Score Index'!H62*Rezepte!AP62</f>
        <v>0</v>
      </c>
      <c r="S62">
        <f>'Übersicht Score Index'!H62*Rezepte!AQ62</f>
        <v>0</v>
      </c>
      <c r="T62">
        <f>'Übersicht Score Index'!H62*Rezepte!AR62</f>
        <v>0</v>
      </c>
      <c r="U62">
        <f>'Übersicht Score Index'!I62*Rezepte!AP62</f>
        <v>0</v>
      </c>
      <c r="V62">
        <f>'Übersicht Score Index'!I62*Rezepte!AQ62</f>
        <v>0</v>
      </c>
      <c r="W62">
        <f>'Übersicht Score Index'!I62*Rezepte!AR62</f>
        <v>0</v>
      </c>
    </row>
    <row r="63" spans="1:23" x14ac:dyDescent="0.3">
      <c r="A63" s="6" t="s">
        <v>131</v>
      </c>
      <c r="B63" s="2" t="s">
        <v>132</v>
      </c>
      <c r="C63">
        <f>'Übersicht Score Index'!C63*Rezepte!AP63</f>
        <v>0</v>
      </c>
      <c r="D63">
        <f>'Übersicht Score Index'!C63*Rezepte!AQ63</f>
        <v>0</v>
      </c>
      <c r="E63">
        <f>'Übersicht Score Index'!C63*Rezepte!AR63</f>
        <v>0</v>
      </c>
      <c r="F63">
        <f>'Übersicht Score Index'!D63*Rezepte!AP63</f>
        <v>0</v>
      </c>
      <c r="G63">
        <f>'Übersicht Score Index'!D63*Rezepte!AQ63</f>
        <v>0</v>
      </c>
      <c r="H63">
        <f>'Übersicht Score Index'!D63*Rezepte!AR63</f>
        <v>0</v>
      </c>
      <c r="I63">
        <f>'Übersicht Score Index'!E63*Rezepte!AP63</f>
        <v>0</v>
      </c>
      <c r="J63">
        <f>'Übersicht Score Index'!E63*Rezepte!AQ63</f>
        <v>0</v>
      </c>
      <c r="K63">
        <f>'Übersicht Score Index'!E63*Rezepte!AR63</f>
        <v>0</v>
      </c>
      <c r="L63">
        <f>'Übersicht Score Index'!F63*Rezepte!AP63</f>
        <v>0</v>
      </c>
      <c r="M63">
        <f>'Übersicht Score Index'!F63*Rezepte!AQ63</f>
        <v>0</v>
      </c>
      <c r="N63">
        <f>'Übersicht Score Index'!F63*Rezepte!AR63</f>
        <v>0</v>
      </c>
      <c r="O63">
        <f>'Übersicht Score Index'!G63*Rezepte!AP63</f>
        <v>0</v>
      </c>
      <c r="P63">
        <f>'Übersicht Score Index'!G63*Rezepte!AQ63</f>
        <v>0</v>
      </c>
      <c r="Q63">
        <f>'Übersicht Score Index'!G63*Rezepte!AR63</f>
        <v>0</v>
      </c>
      <c r="R63">
        <f>'Übersicht Score Index'!H63*Rezepte!AP63</f>
        <v>0</v>
      </c>
      <c r="S63">
        <f>'Übersicht Score Index'!H63*Rezepte!AQ63</f>
        <v>0</v>
      </c>
      <c r="T63">
        <f>'Übersicht Score Index'!H63*Rezepte!AR63</f>
        <v>0</v>
      </c>
      <c r="U63">
        <f>'Übersicht Score Index'!I63*Rezepte!AP63</f>
        <v>0</v>
      </c>
      <c r="V63">
        <f>'Übersicht Score Index'!I63*Rezepte!AQ63</f>
        <v>0</v>
      </c>
      <c r="W63">
        <f>'Übersicht Score Index'!I63*Rezepte!AR63</f>
        <v>0</v>
      </c>
    </row>
    <row r="64" spans="1:23" x14ac:dyDescent="0.3">
      <c r="A64" s="2" t="s">
        <v>133</v>
      </c>
      <c r="B64" s="2" t="s">
        <v>134</v>
      </c>
      <c r="C64">
        <f>'Übersicht Score Index'!C64*Rezepte!AP64</f>
        <v>0</v>
      </c>
      <c r="D64">
        <f>'Übersicht Score Index'!C64*Rezepte!AQ64</f>
        <v>0</v>
      </c>
      <c r="E64">
        <f>'Übersicht Score Index'!C64*Rezepte!AR64</f>
        <v>0</v>
      </c>
      <c r="F64">
        <f>'Übersicht Score Index'!D64*Rezepte!AP64</f>
        <v>0</v>
      </c>
      <c r="G64">
        <f>'Übersicht Score Index'!D64*Rezepte!AQ64</f>
        <v>0</v>
      </c>
      <c r="H64">
        <f>'Übersicht Score Index'!D64*Rezepte!AR64</f>
        <v>0</v>
      </c>
      <c r="I64">
        <f>'Übersicht Score Index'!E64*Rezepte!AP64</f>
        <v>0</v>
      </c>
      <c r="J64">
        <f>'Übersicht Score Index'!E64*Rezepte!AQ64</f>
        <v>0</v>
      </c>
      <c r="K64">
        <f>'Übersicht Score Index'!E64*Rezepte!AR64</f>
        <v>0</v>
      </c>
      <c r="L64">
        <f>'Übersicht Score Index'!F64*Rezepte!AP64</f>
        <v>0</v>
      </c>
      <c r="M64">
        <f>'Übersicht Score Index'!F64*Rezepte!AQ64</f>
        <v>0</v>
      </c>
      <c r="N64">
        <f>'Übersicht Score Index'!F64*Rezepte!AR64</f>
        <v>0</v>
      </c>
      <c r="O64">
        <f>'Übersicht Score Index'!G64*Rezepte!AP64</f>
        <v>0</v>
      </c>
      <c r="P64">
        <f>'Übersicht Score Index'!G64*Rezepte!AQ64</f>
        <v>0</v>
      </c>
      <c r="Q64">
        <f>'Übersicht Score Index'!G64*Rezepte!AR64</f>
        <v>0</v>
      </c>
      <c r="R64">
        <f>'Übersicht Score Index'!H64*Rezepte!AP64</f>
        <v>0</v>
      </c>
      <c r="S64">
        <f>'Übersicht Score Index'!H64*Rezepte!AQ64</f>
        <v>0</v>
      </c>
      <c r="T64">
        <f>'Übersicht Score Index'!H64*Rezepte!AR64</f>
        <v>0</v>
      </c>
      <c r="U64">
        <f>'Übersicht Score Index'!I64*Rezepte!AP64</f>
        <v>0</v>
      </c>
      <c r="V64">
        <f>'Übersicht Score Index'!I64*Rezepte!AQ64</f>
        <v>0</v>
      </c>
      <c r="W64">
        <f>'Übersicht Score Index'!I64*Rezepte!AR64</f>
        <v>0</v>
      </c>
    </row>
    <row r="65" spans="1:23" x14ac:dyDescent="0.3">
      <c r="A65" s="2" t="s">
        <v>135</v>
      </c>
      <c r="B65" s="2" t="s">
        <v>136</v>
      </c>
      <c r="C65">
        <f>'Übersicht Score Index'!C65*Rezepte!AP65</f>
        <v>0</v>
      </c>
      <c r="D65">
        <f>'Übersicht Score Index'!C65*Rezepte!AQ65</f>
        <v>0</v>
      </c>
      <c r="E65">
        <f>'Übersicht Score Index'!C65*Rezepte!AR65</f>
        <v>0</v>
      </c>
      <c r="F65">
        <f>'Übersicht Score Index'!D65*Rezepte!AP65</f>
        <v>0</v>
      </c>
      <c r="G65">
        <f>'Übersicht Score Index'!D65*Rezepte!AQ65</f>
        <v>0</v>
      </c>
      <c r="H65">
        <f>'Übersicht Score Index'!D65*Rezepte!AR65</f>
        <v>0</v>
      </c>
      <c r="I65">
        <f>'Übersicht Score Index'!E65*Rezepte!AP65</f>
        <v>0</v>
      </c>
      <c r="J65">
        <f>'Übersicht Score Index'!E65*Rezepte!AQ65</f>
        <v>0</v>
      </c>
      <c r="K65">
        <f>'Übersicht Score Index'!E65*Rezepte!AR65</f>
        <v>0</v>
      </c>
      <c r="L65">
        <f>'Übersicht Score Index'!F65*Rezepte!AP65</f>
        <v>0</v>
      </c>
      <c r="M65">
        <f>'Übersicht Score Index'!F65*Rezepte!AQ65</f>
        <v>0</v>
      </c>
      <c r="N65">
        <f>'Übersicht Score Index'!F65*Rezepte!AR65</f>
        <v>0</v>
      </c>
      <c r="O65">
        <f>'Übersicht Score Index'!G65*Rezepte!AP65</f>
        <v>0</v>
      </c>
      <c r="P65">
        <f>'Übersicht Score Index'!G65*Rezepte!AQ65</f>
        <v>0</v>
      </c>
      <c r="Q65">
        <f>'Übersicht Score Index'!G65*Rezepte!AR65</f>
        <v>0</v>
      </c>
      <c r="R65">
        <f>'Übersicht Score Index'!H65*Rezepte!AP65</f>
        <v>0</v>
      </c>
      <c r="S65">
        <f>'Übersicht Score Index'!H65*Rezepte!AQ65</f>
        <v>0</v>
      </c>
      <c r="T65">
        <f>'Übersicht Score Index'!H65*Rezepte!AR65</f>
        <v>0</v>
      </c>
      <c r="U65">
        <f>'Übersicht Score Index'!I65*Rezepte!AP65</f>
        <v>0</v>
      </c>
      <c r="V65">
        <f>'Übersicht Score Index'!I65*Rezepte!AQ65</f>
        <v>0</v>
      </c>
      <c r="W65">
        <f>'Übersicht Score Index'!I65*Rezepte!AR65</f>
        <v>0</v>
      </c>
    </row>
    <row r="66" spans="1:23" x14ac:dyDescent="0.3">
      <c r="A66" s="2" t="s">
        <v>137</v>
      </c>
      <c r="B66" s="2" t="s">
        <v>138</v>
      </c>
      <c r="C66">
        <f>'Übersicht Score Index'!C66*Rezepte!AP66</f>
        <v>0</v>
      </c>
      <c r="D66">
        <f>'Übersicht Score Index'!C66*Rezepte!AQ66</f>
        <v>0</v>
      </c>
      <c r="E66">
        <f>'Übersicht Score Index'!C66*Rezepte!AR66</f>
        <v>0</v>
      </c>
      <c r="F66">
        <f>'Übersicht Score Index'!D66*Rezepte!AP66</f>
        <v>0</v>
      </c>
      <c r="G66">
        <f>'Übersicht Score Index'!D66*Rezepte!AQ66</f>
        <v>0</v>
      </c>
      <c r="H66">
        <f>'Übersicht Score Index'!D66*Rezepte!AR66</f>
        <v>0</v>
      </c>
      <c r="I66">
        <f>'Übersicht Score Index'!E66*Rezepte!AP66</f>
        <v>0</v>
      </c>
      <c r="J66">
        <f>'Übersicht Score Index'!E66*Rezepte!AQ66</f>
        <v>0</v>
      </c>
      <c r="K66">
        <f>'Übersicht Score Index'!E66*Rezepte!AR66</f>
        <v>0</v>
      </c>
      <c r="L66">
        <f>'Übersicht Score Index'!F66*Rezepte!AP66</f>
        <v>0</v>
      </c>
      <c r="M66">
        <f>'Übersicht Score Index'!F66*Rezepte!AQ66</f>
        <v>0</v>
      </c>
      <c r="N66">
        <f>'Übersicht Score Index'!F66*Rezepte!AR66</f>
        <v>0</v>
      </c>
      <c r="O66">
        <f>'Übersicht Score Index'!G66*Rezepte!AP66</f>
        <v>0</v>
      </c>
      <c r="P66">
        <f>'Übersicht Score Index'!G66*Rezepte!AQ66</f>
        <v>0</v>
      </c>
      <c r="Q66">
        <f>'Übersicht Score Index'!G66*Rezepte!AR66</f>
        <v>0</v>
      </c>
      <c r="R66">
        <f>'Übersicht Score Index'!H66*Rezepte!AP66</f>
        <v>0</v>
      </c>
      <c r="S66">
        <f>'Übersicht Score Index'!H66*Rezepte!AQ66</f>
        <v>0</v>
      </c>
      <c r="T66">
        <f>'Übersicht Score Index'!H66*Rezepte!AR66</f>
        <v>0</v>
      </c>
      <c r="U66">
        <f>'Übersicht Score Index'!I66*Rezepte!AP66</f>
        <v>0</v>
      </c>
      <c r="V66">
        <f>'Übersicht Score Index'!I66*Rezepte!AQ66</f>
        <v>0</v>
      </c>
      <c r="W66">
        <f>'Übersicht Score Index'!I66*Rezepte!AR66</f>
        <v>0</v>
      </c>
    </row>
    <row r="67" spans="1:23" x14ac:dyDescent="0.3">
      <c r="A67" s="2" t="s">
        <v>139</v>
      </c>
      <c r="B67" s="2" t="s">
        <v>140</v>
      </c>
      <c r="C67">
        <f>'Übersicht Score Index'!C67*Rezepte!AP67</f>
        <v>0</v>
      </c>
      <c r="D67">
        <f>'Übersicht Score Index'!C67*Rezepte!AQ67</f>
        <v>0</v>
      </c>
      <c r="E67">
        <f>'Übersicht Score Index'!C67*Rezepte!AR67</f>
        <v>0</v>
      </c>
      <c r="F67">
        <f>'Übersicht Score Index'!D67*Rezepte!AP67</f>
        <v>0</v>
      </c>
      <c r="G67">
        <f>'Übersicht Score Index'!D67*Rezepte!AQ67</f>
        <v>0</v>
      </c>
      <c r="H67">
        <f>'Übersicht Score Index'!D67*Rezepte!AR67</f>
        <v>0</v>
      </c>
      <c r="I67">
        <f>'Übersicht Score Index'!E67*Rezepte!AP67</f>
        <v>0</v>
      </c>
      <c r="J67">
        <f>'Übersicht Score Index'!E67*Rezepte!AQ67</f>
        <v>0</v>
      </c>
      <c r="K67">
        <f>'Übersicht Score Index'!E67*Rezepte!AR67</f>
        <v>0</v>
      </c>
      <c r="L67">
        <f>'Übersicht Score Index'!F67*Rezepte!AP67</f>
        <v>0</v>
      </c>
      <c r="M67">
        <f>'Übersicht Score Index'!F67*Rezepte!AQ67</f>
        <v>0</v>
      </c>
      <c r="N67">
        <f>'Übersicht Score Index'!F67*Rezepte!AR67</f>
        <v>0</v>
      </c>
      <c r="O67">
        <f>'Übersicht Score Index'!G67*Rezepte!AP67</f>
        <v>0</v>
      </c>
      <c r="P67">
        <f>'Übersicht Score Index'!G67*Rezepte!AQ67</f>
        <v>0</v>
      </c>
      <c r="Q67">
        <f>'Übersicht Score Index'!G67*Rezepte!AR67</f>
        <v>0</v>
      </c>
      <c r="R67">
        <f>'Übersicht Score Index'!H67*Rezepte!AP67</f>
        <v>0</v>
      </c>
      <c r="S67">
        <f>'Übersicht Score Index'!H67*Rezepte!AQ67</f>
        <v>0</v>
      </c>
      <c r="T67">
        <f>'Übersicht Score Index'!H67*Rezepte!AR67</f>
        <v>0</v>
      </c>
      <c r="U67">
        <f>'Übersicht Score Index'!I67*Rezepte!AP67</f>
        <v>0</v>
      </c>
      <c r="V67">
        <f>'Übersicht Score Index'!I67*Rezepte!AQ67</f>
        <v>0</v>
      </c>
      <c r="W67">
        <f>'Übersicht Score Index'!I67*Rezepte!AR67</f>
        <v>0</v>
      </c>
    </row>
    <row r="68" spans="1:23" x14ac:dyDescent="0.3">
      <c r="A68" s="2" t="s">
        <v>141</v>
      </c>
      <c r="B68" s="2" t="s">
        <v>142</v>
      </c>
      <c r="C68">
        <f>'Übersicht Score Index'!C68*Rezepte!AP68</f>
        <v>0</v>
      </c>
      <c r="D68">
        <f>'Übersicht Score Index'!C68*Rezepte!AQ68</f>
        <v>0</v>
      </c>
      <c r="E68">
        <f>'Übersicht Score Index'!C68*Rezepte!AR68</f>
        <v>0</v>
      </c>
      <c r="F68">
        <f>'Übersicht Score Index'!D68*Rezepte!AP68</f>
        <v>0</v>
      </c>
      <c r="G68">
        <f>'Übersicht Score Index'!D68*Rezepte!AQ68</f>
        <v>0</v>
      </c>
      <c r="H68">
        <f>'Übersicht Score Index'!D68*Rezepte!AR68</f>
        <v>0</v>
      </c>
      <c r="I68">
        <f>'Übersicht Score Index'!E68*Rezepte!AP68</f>
        <v>0</v>
      </c>
      <c r="J68">
        <f>'Übersicht Score Index'!E68*Rezepte!AQ68</f>
        <v>0</v>
      </c>
      <c r="K68">
        <f>'Übersicht Score Index'!E68*Rezepte!AR68</f>
        <v>0</v>
      </c>
      <c r="L68">
        <f>'Übersicht Score Index'!F68*Rezepte!AP68</f>
        <v>0</v>
      </c>
      <c r="M68">
        <f>'Übersicht Score Index'!F68*Rezepte!AQ68</f>
        <v>0</v>
      </c>
      <c r="N68">
        <f>'Übersicht Score Index'!F68*Rezepte!AR68</f>
        <v>0</v>
      </c>
      <c r="O68">
        <f>'Übersicht Score Index'!G68*Rezepte!AP68</f>
        <v>0</v>
      </c>
      <c r="P68">
        <f>'Übersicht Score Index'!G68*Rezepte!AQ68</f>
        <v>0</v>
      </c>
      <c r="Q68">
        <f>'Übersicht Score Index'!G68*Rezepte!AR68</f>
        <v>0</v>
      </c>
      <c r="R68">
        <f>'Übersicht Score Index'!H68*Rezepte!AP68</f>
        <v>0</v>
      </c>
      <c r="S68">
        <f>'Übersicht Score Index'!H68*Rezepte!AQ68</f>
        <v>0</v>
      </c>
      <c r="T68">
        <f>'Übersicht Score Index'!H68*Rezepte!AR68</f>
        <v>0</v>
      </c>
      <c r="U68">
        <f>'Übersicht Score Index'!I68*Rezepte!AP68</f>
        <v>0</v>
      </c>
      <c r="V68">
        <f>'Übersicht Score Index'!I68*Rezepte!AQ68</f>
        <v>0</v>
      </c>
      <c r="W68">
        <f>'Übersicht Score Index'!I68*Rezepte!AR68</f>
        <v>0</v>
      </c>
    </row>
    <row r="69" spans="1:23" x14ac:dyDescent="0.3">
      <c r="A69" s="2" t="s">
        <v>143</v>
      </c>
      <c r="B69" s="2" t="s">
        <v>144</v>
      </c>
      <c r="C69">
        <f>'Übersicht Score Index'!C69*Rezepte!AP69</f>
        <v>0</v>
      </c>
      <c r="D69">
        <f>'Übersicht Score Index'!C69*Rezepte!AQ69</f>
        <v>0</v>
      </c>
      <c r="E69">
        <f>'Übersicht Score Index'!C69*Rezepte!AR69</f>
        <v>0</v>
      </c>
      <c r="F69">
        <f>'Übersicht Score Index'!D69*Rezepte!AP69</f>
        <v>0</v>
      </c>
      <c r="G69">
        <f>'Übersicht Score Index'!D69*Rezepte!AQ69</f>
        <v>0</v>
      </c>
      <c r="H69">
        <f>'Übersicht Score Index'!D69*Rezepte!AR69</f>
        <v>0</v>
      </c>
      <c r="I69">
        <f>'Übersicht Score Index'!E69*Rezepte!AP69</f>
        <v>0</v>
      </c>
      <c r="J69">
        <f>'Übersicht Score Index'!E69*Rezepte!AQ69</f>
        <v>0</v>
      </c>
      <c r="K69">
        <f>'Übersicht Score Index'!E69*Rezepte!AR69</f>
        <v>0</v>
      </c>
      <c r="L69">
        <f>'Übersicht Score Index'!F69*Rezepte!AP69</f>
        <v>0</v>
      </c>
      <c r="M69">
        <f>'Übersicht Score Index'!F69*Rezepte!AQ69</f>
        <v>0</v>
      </c>
      <c r="N69">
        <f>'Übersicht Score Index'!F69*Rezepte!AR69</f>
        <v>0</v>
      </c>
      <c r="O69">
        <f>'Übersicht Score Index'!G69*Rezepte!AP69</f>
        <v>0</v>
      </c>
      <c r="P69">
        <f>'Übersicht Score Index'!G69*Rezepte!AQ69</f>
        <v>0</v>
      </c>
      <c r="Q69">
        <f>'Übersicht Score Index'!G69*Rezepte!AR69</f>
        <v>0</v>
      </c>
      <c r="R69">
        <f>'Übersicht Score Index'!H69*Rezepte!AP69</f>
        <v>0</v>
      </c>
      <c r="S69">
        <f>'Übersicht Score Index'!H69*Rezepte!AQ69</f>
        <v>0</v>
      </c>
      <c r="T69">
        <f>'Übersicht Score Index'!H69*Rezepte!AR69</f>
        <v>0</v>
      </c>
      <c r="U69">
        <f>'Übersicht Score Index'!I69*Rezepte!AP69</f>
        <v>0</v>
      </c>
      <c r="V69">
        <f>'Übersicht Score Index'!I69*Rezepte!AQ69</f>
        <v>0</v>
      </c>
      <c r="W69">
        <f>'Übersicht Score Index'!I69*Rezepte!AR69</f>
        <v>0</v>
      </c>
    </row>
    <row r="70" spans="1:23" x14ac:dyDescent="0.3">
      <c r="A70" s="2" t="s">
        <v>145</v>
      </c>
      <c r="B70" s="2" t="s">
        <v>146</v>
      </c>
      <c r="C70">
        <f>'Übersicht Score Index'!C70*Rezepte!AP70</f>
        <v>0</v>
      </c>
      <c r="D70">
        <f>'Übersicht Score Index'!C70*Rezepte!AQ70</f>
        <v>0</v>
      </c>
      <c r="E70">
        <f>'Übersicht Score Index'!C70*Rezepte!AR70</f>
        <v>0</v>
      </c>
      <c r="F70">
        <f>'Übersicht Score Index'!D70*Rezepte!AP70</f>
        <v>0</v>
      </c>
      <c r="G70">
        <f>'Übersicht Score Index'!D70*Rezepte!AQ70</f>
        <v>0</v>
      </c>
      <c r="H70">
        <f>'Übersicht Score Index'!D70*Rezepte!AR70</f>
        <v>0</v>
      </c>
      <c r="I70">
        <f>'Übersicht Score Index'!E70*Rezepte!AP70</f>
        <v>0</v>
      </c>
      <c r="J70">
        <f>'Übersicht Score Index'!E70*Rezepte!AQ70</f>
        <v>0</v>
      </c>
      <c r="K70">
        <f>'Übersicht Score Index'!E70*Rezepte!AR70</f>
        <v>0</v>
      </c>
      <c r="L70">
        <f>'Übersicht Score Index'!F70*Rezepte!AP70</f>
        <v>0</v>
      </c>
      <c r="M70">
        <f>'Übersicht Score Index'!F70*Rezepte!AQ70</f>
        <v>0</v>
      </c>
      <c r="N70">
        <f>'Übersicht Score Index'!F70*Rezepte!AR70</f>
        <v>0</v>
      </c>
      <c r="O70">
        <f>'Übersicht Score Index'!G70*Rezepte!AP70</f>
        <v>0</v>
      </c>
      <c r="P70">
        <f>'Übersicht Score Index'!G70*Rezepte!AQ70</f>
        <v>0</v>
      </c>
      <c r="Q70">
        <f>'Übersicht Score Index'!G70*Rezepte!AR70</f>
        <v>0</v>
      </c>
      <c r="R70">
        <f>'Übersicht Score Index'!H70*Rezepte!AP70</f>
        <v>0</v>
      </c>
      <c r="S70">
        <f>'Übersicht Score Index'!H70*Rezepte!AQ70</f>
        <v>0</v>
      </c>
      <c r="T70">
        <f>'Übersicht Score Index'!H70*Rezepte!AR70</f>
        <v>0</v>
      </c>
      <c r="U70">
        <f>'Übersicht Score Index'!I70*Rezepte!AP70</f>
        <v>0</v>
      </c>
      <c r="V70">
        <f>'Übersicht Score Index'!I70*Rezepte!AQ70</f>
        <v>0</v>
      </c>
      <c r="W70">
        <f>'Übersicht Score Index'!I70*Rezepte!AR70</f>
        <v>0</v>
      </c>
    </row>
    <row r="71" spans="1:23" x14ac:dyDescent="0.3">
      <c r="A71" s="2" t="s">
        <v>147</v>
      </c>
      <c r="B71" s="2" t="s">
        <v>148</v>
      </c>
      <c r="C71">
        <f>'Übersicht Score Index'!C71*Rezepte!AP71</f>
        <v>0</v>
      </c>
      <c r="D71">
        <f>'Übersicht Score Index'!C71*Rezepte!AQ71</f>
        <v>0</v>
      </c>
      <c r="E71">
        <f>'Übersicht Score Index'!C71*Rezepte!AR71</f>
        <v>0</v>
      </c>
      <c r="F71">
        <f>'Übersicht Score Index'!D71*Rezepte!AP71</f>
        <v>0</v>
      </c>
      <c r="G71">
        <f>'Übersicht Score Index'!D71*Rezepte!AQ71</f>
        <v>0</v>
      </c>
      <c r="H71">
        <f>'Übersicht Score Index'!D71*Rezepte!AR71</f>
        <v>0</v>
      </c>
      <c r="I71">
        <f>'Übersicht Score Index'!E71*Rezepte!AP71</f>
        <v>0</v>
      </c>
      <c r="J71">
        <f>'Übersicht Score Index'!E71*Rezepte!AQ71</f>
        <v>0</v>
      </c>
      <c r="K71">
        <f>'Übersicht Score Index'!E71*Rezepte!AR71</f>
        <v>0</v>
      </c>
      <c r="L71">
        <f>'Übersicht Score Index'!F71*Rezepte!AP71</f>
        <v>0</v>
      </c>
      <c r="M71">
        <f>'Übersicht Score Index'!F71*Rezepte!AQ71</f>
        <v>0</v>
      </c>
      <c r="N71">
        <f>'Übersicht Score Index'!F71*Rezepte!AR71</f>
        <v>0</v>
      </c>
      <c r="O71">
        <f>'Übersicht Score Index'!G71*Rezepte!AP71</f>
        <v>0</v>
      </c>
      <c r="P71">
        <f>'Übersicht Score Index'!G71*Rezepte!AQ71</f>
        <v>0</v>
      </c>
      <c r="Q71">
        <f>'Übersicht Score Index'!G71*Rezepte!AR71</f>
        <v>0</v>
      </c>
      <c r="R71">
        <f>'Übersicht Score Index'!H71*Rezepte!AP71</f>
        <v>0</v>
      </c>
      <c r="S71">
        <f>'Übersicht Score Index'!H71*Rezepte!AQ71</f>
        <v>0</v>
      </c>
      <c r="T71">
        <f>'Übersicht Score Index'!H71*Rezepte!AR71</f>
        <v>0</v>
      </c>
      <c r="U71">
        <f>'Übersicht Score Index'!I71*Rezepte!AP71</f>
        <v>0</v>
      </c>
      <c r="V71">
        <f>'Übersicht Score Index'!I71*Rezepte!AQ71</f>
        <v>0</v>
      </c>
      <c r="W71">
        <f>'Übersicht Score Index'!I71*Rezepte!AR71</f>
        <v>0</v>
      </c>
    </row>
    <row r="72" spans="1:23" x14ac:dyDescent="0.3">
      <c r="A72" s="2" t="s">
        <v>149</v>
      </c>
      <c r="B72" s="2" t="s">
        <v>150</v>
      </c>
      <c r="C72">
        <f>'Übersicht Score Index'!C72*Rezepte!AP72</f>
        <v>0</v>
      </c>
      <c r="D72">
        <f>'Übersicht Score Index'!C72*Rezepte!AQ72</f>
        <v>0</v>
      </c>
      <c r="E72">
        <f>'Übersicht Score Index'!C72*Rezepte!AR72</f>
        <v>0</v>
      </c>
      <c r="F72">
        <f>'Übersicht Score Index'!D72*Rezepte!AP72</f>
        <v>0</v>
      </c>
      <c r="G72">
        <f>'Übersicht Score Index'!D72*Rezepte!AQ72</f>
        <v>0</v>
      </c>
      <c r="H72">
        <f>'Übersicht Score Index'!D72*Rezepte!AR72</f>
        <v>0</v>
      </c>
      <c r="I72">
        <f>'Übersicht Score Index'!E72*Rezepte!AP72</f>
        <v>0</v>
      </c>
      <c r="J72">
        <f>'Übersicht Score Index'!E72*Rezepte!AQ72</f>
        <v>0</v>
      </c>
      <c r="K72">
        <f>'Übersicht Score Index'!E72*Rezepte!AR72</f>
        <v>0</v>
      </c>
      <c r="L72">
        <f>'Übersicht Score Index'!F72*Rezepte!AP72</f>
        <v>0</v>
      </c>
      <c r="M72">
        <f>'Übersicht Score Index'!F72*Rezepte!AQ72</f>
        <v>0</v>
      </c>
      <c r="N72">
        <f>'Übersicht Score Index'!F72*Rezepte!AR72</f>
        <v>0</v>
      </c>
      <c r="O72">
        <f>'Übersicht Score Index'!G72*Rezepte!AP72</f>
        <v>0</v>
      </c>
      <c r="P72">
        <f>'Übersicht Score Index'!G72*Rezepte!AQ72</f>
        <v>0</v>
      </c>
      <c r="Q72">
        <f>'Übersicht Score Index'!G72*Rezepte!AR72</f>
        <v>0</v>
      </c>
      <c r="R72">
        <f>'Übersicht Score Index'!H72*Rezepte!AP72</f>
        <v>0</v>
      </c>
      <c r="S72">
        <f>'Übersicht Score Index'!H72*Rezepte!AQ72</f>
        <v>0</v>
      </c>
      <c r="T72">
        <f>'Übersicht Score Index'!H72*Rezepte!AR72</f>
        <v>0</v>
      </c>
      <c r="U72">
        <f>'Übersicht Score Index'!I72*Rezepte!AP72</f>
        <v>0</v>
      </c>
      <c r="V72">
        <f>'Übersicht Score Index'!I72*Rezepte!AQ72</f>
        <v>0</v>
      </c>
      <c r="W72">
        <f>'Übersicht Score Index'!I72*Rezepte!AR72</f>
        <v>0</v>
      </c>
    </row>
    <row r="73" spans="1:23" x14ac:dyDescent="0.3">
      <c r="A73" s="2" t="s">
        <v>151</v>
      </c>
      <c r="B73" s="2" t="s">
        <v>152</v>
      </c>
      <c r="C73">
        <f>'Übersicht Score Index'!C73*Rezepte!AP73</f>
        <v>0</v>
      </c>
      <c r="D73">
        <f>'Übersicht Score Index'!C73*Rezepte!AQ73</f>
        <v>0</v>
      </c>
      <c r="E73">
        <f>'Übersicht Score Index'!C73*Rezepte!AR73</f>
        <v>0</v>
      </c>
      <c r="F73">
        <f>'Übersicht Score Index'!D73*Rezepte!AP73</f>
        <v>0</v>
      </c>
      <c r="G73">
        <f>'Übersicht Score Index'!D73*Rezepte!AQ73</f>
        <v>0</v>
      </c>
      <c r="H73">
        <f>'Übersicht Score Index'!D73*Rezepte!AR73</f>
        <v>0</v>
      </c>
      <c r="I73">
        <f>'Übersicht Score Index'!E73*Rezepte!AP73</f>
        <v>0</v>
      </c>
      <c r="J73">
        <f>'Übersicht Score Index'!E73*Rezepte!AQ73</f>
        <v>0</v>
      </c>
      <c r="K73">
        <f>'Übersicht Score Index'!E73*Rezepte!AR73</f>
        <v>0</v>
      </c>
      <c r="L73">
        <f>'Übersicht Score Index'!F73*Rezepte!AP73</f>
        <v>0</v>
      </c>
      <c r="M73">
        <f>'Übersicht Score Index'!F73*Rezepte!AQ73</f>
        <v>0</v>
      </c>
      <c r="N73">
        <f>'Übersicht Score Index'!F73*Rezepte!AR73</f>
        <v>0</v>
      </c>
      <c r="O73">
        <f>'Übersicht Score Index'!G73*Rezepte!AP73</f>
        <v>0</v>
      </c>
      <c r="P73">
        <f>'Übersicht Score Index'!G73*Rezepte!AQ73</f>
        <v>0</v>
      </c>
      <c r="Q73">
        <f>'Übersicht Score Index'!G73*Rezepte!AR73</f>
        <v>0</v>
      </c>
      <c r="R73">
        <f>'Übersicht Score Index'!H73*Rezepte!AP73</f>
        <v>0</v>
      </c>
      <c r="S73">
        <f>'Übersicht Score Index'!H73*Rezepte!AQ73</f>
        <v>0</v>
      </c>
      <c r="T73">
        <f>'Übersicht Score Index'!H73*Rezepte!AR73</f>
        <v>0</v>
      </c>
      <c r="U73">
        <f>'Übersicht Score Index'!I73*Rezepte!AP73</f>
        <v>0</v>
      </c>
      <c r="V73">
        <f>'Übersicht Score Index'!I73*Rezepte!AQ73</f>
        <v>0</v>
      </c>
      <c r="W73">
        <f>'Übersicht Score Index'!I73*Rezepte!AR73</f>
        <v>0</v>
      </c>
    </row>
    <row r="74" spans="1:23" x14ac:dyDescent="0.3">
      <c r="A74" s="2" t="s">
        <v>153</v>
      </c>
      <c r="B74" s="2" t="s">
        <v>154</v>
      </c>
      <c r="C74">
        <f>'Übersicht Score Index'!C74*Rezepte!AP74</f>
        <v>0</v>
      </c>
      <c r="D74">
        <f>'Übersicht Score Index'!C74*Rezepte!AQ74</f>
        <v>0</v>
      </c>
      <c r="E74">
        <f>'Übersicht Score Index'!C74*Rezepte!AR74</f>
        <v>0</v>
      </c>
      <c r="F74">
        <f>'Übersicht Score Index'!D74*Rezepte!AP74</f>
        <v>0</v>
      </c>
      <c r="G74">
        <f>'Übersicht Score Index'!D74*Rezepte!AQ74</f>
        <v>0</v>
      </c>
      <c r="H74">
        <f>'Übersicht Score Index'!D74*Rezepte!AR74</f>
        <v>0</v>
      </c>
      <c r="I74">
        <f>'Übersicht Score Index'!E74*Rezepte!AP74</f>
        <v>0</v>
      </c>
      <c r="J74">
        <f>'Übersicht Score Index'!E74*Rezepte!AQ74</f>
        <v>0</v>
      </c>
      <c r="K74">
        <f>'Übersicht Score Index'!E74*Rezepte!AR74</f>
        <v>0</v>
      </c>
      <c r="L74">
        <f>'Übersicht Score Index'!F74*Rezepte!AP74</f>
        <v>0</v>
      </c>
      <c r="M74">
        <f>'Übersicht Score Index'!F74*Rezepte!AQ74</f>
        <v>0</v>
      </c>
      <c r="N74">
        <f>'Übersicht Score Index'!F74*Rezepte!AR74</f>
        <v>0</v>
      </c>
      <c r="O74">
        <f>'Übersicht Score Index'!G74*Rezepte!AP74</f>
        <v>0</v>
      </c>
      <c r="P74">
        <f>'Übersicht Score Index'!G74*Rezepte!AQ74</f>
        <v>0</v>
      </c>
      <c r="Q74">
        <f>'Übersicht Score Index'!G74*Rezepte!AR74</f>
        <v>0</v>
      </c>
      <c r="R74">
        <f>'Übersicht Score Index'!H74*Rezepte!AP74</f>
        <v>0</v>
      </c>
      <c r="S74">
        <f>'Übersicht Score Index'!H74*Rezepte!AQ74</f>
        <v>0</v>
      </c>
      <c r="T74">
        <f>'Übersicht Score Index'!H74*Rezepte!AR74</f>
        <v>0</v>
      </c>
      <c r="U74">
        <f>'Übersicht Score Index'!I74*Rezepte!AP74</f>
        <v>0</v>
      </c>
      <c r="V74">
        <f>'Übersicht Score Index'!I74*Rezepte!AQ74</f>
        <v>0</v>
      </c>
      <c r="W74">
        <f>'Übersicht Score Index'!I74*Rezepte!AR74</f>
        <v>0</v>
      </c>
    </row>
    <row r="75" spans="1:23" x14ac:dyDescent="0.3">
      <c r="A75" s="2" t="s">
        <v>155</v>
      </c>
      <c r="B75" s="2" t="s">
        <v>156</v>
      </c>
      <c r="C75">
        <f>'Übersicht Score Index'!C75*Rezepte!AP75</f>
        <v>0</v>
      </c>
      <c r="D75">
        <f>'Übersicht Score Index'!C75*Rezepte!AQ75</f>
        <v>0</v>
      </c>
      <c r="E75">
        <f>'Übersicht Score Index'!C75*Rezepte!AR75</f>
        <v>0</v>
      </c>
      <c r="F75">
        <f>'Übersicht Score Index'!D75*Rezepte!AP75</f>
        <v>0</v>
      </c>
      <c r="G75">
        <f>'Übersicht Score Index'!D75*Rezepte!AQ75</f>
        <v>0</v>
      </c>
      <c r="H75">
        <f>'Übersicht Score Index'!D75*Rezepte!AR75</f>
        <v>0</v>
      </c>
      <c r="I75">
        <f>'Übersicht Score Index'!E75*Rezepte!AP75</f>
        <v>0</v>
      </c>
      <c r="J75">
        <f>'Übersicht Score Index'!E75*Rezepte!AQ75</f>
        <v>0</v>
      </c>
      <c r="K75">
        <f>'Übersicht Score Index'!E75*Rezepte!AR75</f>
        <v>0</v>
      </c>
      <c r="L75">
        <f>'Übersicht Score Index'!F75*Rezepte!AP75</f>
        <v>0</v>
      </c>
      <c r="M75">
        <f>'Übersicht Score Index'!F75*Rezepte!AQ75</f>
        <v>0</v>
      </c>
      <c r="N75">
        <f>'Übersicht Score Index'!F75*Rezepte!AR75</f>
        <v>0</v>
      </c>
      <c r="O75">
        <f>'Übersicht Score Index'!G75*Rezepte!AP75</f>
        <v>0</v>
      </c>
      <c r="P75">
        <f>'Übersicht Score Index'!G75*Rezepte!AQ75</f>
        <v>0</v>
      </c>
      <c r="Q75">
        <f>'Übersicht Score Index'!G75*Rezepte!AR75</f>
        <v>0</v>
      </c>
      <c r="R75">
        <f>'Übersicht Score Index'!H75*Rezepte!AP75</f>
        <v>0</v>
      </c>
      <c r="S75">
        <f>'Übersicht Score Index'!H75*Rezepte!AQ75</f>
        <v>0</v>
      </c>
      <c r="T75">
        <f>'Übersicht Score Index'!H75*Rezepte!AR75</f>
        <v>0</v>
      </c>
      <c r="U75">
        <f>'Übersicht Score Index'!I75*Rezepte!AP75</f>
        <v>0</v>
      </c>
      <c r="V75">
        <f>'Übersicht Score Index'!I75*Rezepte!AQ75</f>
        <v>0</v>
      </c>
      <c r="W75">
        <f>'Übersicht Score Index'!I75*Rezepte!AR75</f>
        <v>0</v>
      </c>
    </row>
    <row r="76" spans="1:23" x14ac:dyDescent="0.3">
      <c r="A76" s="2" t="s">
        <v>157</v>
      </c>
      <c r="B76" s="2" t="s">
        <v>158</v>
      </c>
      <c r="C76">
        <f>'Übersicht Score Index'!C76*Rezepte!AP76</f>
        <v>0</v>
      </c>
      <c r="D76">
        <f>'Übersicht Score Index'!C76*Rezepte!AQ76</f>
        <v>0</v>
      </c>
      <c r="E76">
        <f>'Übersicht Score Index'!C76*Rezepte!AR76</f>
        <v>0</v>
      </c>
      <c r="F76">
        <f>'Übersicht Score Index'!D76*Rezepte!AP76</f>
        <v>0</v>
      </c>
      <c r="G76">
        <f>'Übersicht Score Index'!D76*Rezepte!AQ76</f>
        <v>0</v>
      </c>
      <c r="H76">
        <f>'Übersicht Score Index'!D76*Rezepte!AR76</f>
        <v>0</v>
      </c>
      <c r="I76">
        <f>'Übersicht Score Index'!E76*Rezepte!AP76</f>
        <v>0</v>
      </c>
      <c r="J76">
        <f>'Übersicht Score Index'!E76*Rezepte!AQ76</f>
        <v>0</v>
      </c>
      <c r="K76">
        <f>'Übersicht Score Index'!E76*Rezepte!AR76</f>
        <v>0</v>
      </c>
      <c r="L76">
        <f>'Übersicht Score Index'!F76*Rezepte!AP76</f>
        <v>0</v>
      </c>
      <c r="M76">
        <f>'Übersicht Score Index'!F76*Rezepte!AQ76</f>
        <v>0</v>
      </c>
      <c r="N76">
        <f>'Übersicht Score Index'!F76*Rezepte!AR76</f>
        <v>0</v>
      </c>
      <c r="O76">
        <f>'Übersicht Score Index'!G76*Rezepte!AP76</f>
        <v>0</v>
      </c>
      <c r="P76">
        <f>'Übersicht Score Index'!G76*Rezepte!AQ76</f>
        <v>0</v>
      </c>
      <c r="Q76">
        <f>'Übersicht Score Index'!G76*Rezepte!AR76</f>
        <v>0</v>
      </c>
      <c r="R76">
        <f>'Übersicht Score Index'!H76*Rezepte!AP76</f>
        <v>0</v>
      </c>
      <c r="S76">
        <f>'Übersicht Score Index'!H76*Rezepte!AQ76</f>
        <v>0</v>
      </c>
      <c r="T76">
        <f>'Übersicht Score Index'!H76*Rezepte!AR76</f>
        <v>0</v>
      </c>
      <c r="U76">
        <f>'Übersicht Score Index'!I76*Rezepte!AP76</f>
        <v>0</v>
      </c>
      <c r="V76">
        <f>'Übersicht Score Index'!I76*Rezepte!AQ76</f>
        <v>0</v>
      </c>
      <c r="W76">
        <f>'Übersicht Score Index'!I76*Rezepte!AR76</f>
        <v>0</v>
      </c>
    </row>
    <row r="77" spans="1:23" x14ac:dyDescent="0.3">
      <c r="A77" s="2" t="s">
        <v>159</v>
      </c>
      <c r="B77" s="2" t="s">
        <v>160</v>
      </c>
      <c r="C77">
        <f>'Übersicht Score Index'!C77*Rezepte!AP77</f>
        <v>3.4090909090909088E-2</v>
      </c>
      <c r="D77">
        <f>'Übersicht Score Index'!C77*Rezepte!AQ77</f>
        <v>1.7045454545454544E-2</v>
      </c>
      <c r="E77">
        <f>'Übersicht Score Index'!C77*Rezepte!AR77</f>
        <v>1.7045454545454544E-2</v>
      </c>
      <c r="F77">
        <f>'Übersicht Score Index'!D77*Rezepte!AP77</f>
        <v>0</v>
      </c>
      <c r="G77">
        <f>'Übersicht Score Index'!D77*Rezepte!AQ77</f>
        <v>0</v>
      </c>
      <c r="H77">
        <f>'Übersicht Score Index'!D77*Rezepte!AR77</f>
        <v>0</v>
      </c>
      <c r="I77">
        <f>'Übersicht Score Index'!E77*Rezepte!AP77</f>
        <v>0</v>
      </c>
      <c r="J77">
        <f>'Übersicht Score Index'!E77*Rezepte!AQ77</f>
        <v>0</v>
      </c>
      <c r="K77">
        <f>'Übersicht Score Index'!E77*Rezepte!AR77</f>
        <v>0</v>
      </c>
      <c r="L77">
        <f>'Übersicht Score Index'!F77*Rezepte!AP77</f>
        <v>0</v>
      </c>
      <c r="M77">
        <f>'Übersicht Score Index'!F77*Rezepte!AQ77</f>
        <v>0</v>
      </c>
      <c r="N77">
        <f>'Übersicht Score Index'!F77*Rezepte!AR77</f>
        <v>0</v>
      </c>
      <c r="O77">
        <f>'Übersicht Score Index'!G77*Rezepte!AP77</f>
        <v>0</v>
      </c>
      <c r="P77">
        <f>'Übersicht Score Index'!G77*Rezepte!AQ77</f>
        <v>0</v>
      </c>
      <c r="Q77">
        <f>'Übersicht Score Index'!G77*Rezepte!AR77</f>
        <v>0</v>
      </c>
      <c r="R77">
        <f>'Übersicht Score Index'!H77*Rezepte!AP77</f>
        <v>0</v>
      </c>
      <c r="S77">
        <f>'Übersicht Score Index'!H77*Rezepte!AQ77</f>
        <v>0</v>
      </c>
      <c r="T77">
        <f>'Übersicht Score Index'!H77*Rezepte!AR77</f>
        <v>0</v>
      </c>
      <c r="U77">
        <f>'Übersicht Score Index'!I77*Rezepte!AP77</f>
        <v>0</v>
      </c>
      <c r="V77">
        <f>'Übersicht Score Index'!I77*Rezepte!AQ77</f>
        <v>0</v>
      </c>
      <c r="W77">
        <f>'Übersicht Score Index'!I77*Rezepte!AR77</f>
        <v>0</v>
      </c>
    </row>
    <row r="78" spans="1:23" x14ac:dyDescent="0.3">
      <c r="A78" s="2" t="s">
        <v>161</v>
      </c>
      <c r="B78" s="2" t="s">
        <v>162</v>
      </c>
      <c r="C78">
        <f>'Übersicht Score Index'!C78*Rezepte!AP78</f>
        <v>0</v>
      </c>
      <c r="D78">
        <f>'Übersicht Score Index'!C78*Rezepte!AQ78</f>
        <v>0</v>
      </c>
      <c r="E78">
        <f>'Übersicht Score Index'!C78*Rezepte!AR78</f>
        <v>0</v>
      </c>
      <c r="F78">
        <f>'Übersicht Score Index'!D78*Rezepte!AP78</f>
        <v>0</v>
      </c>
      <c r="G78">
        <f>'Übersicht Score Index'!D78*Rezepte!AQ78</f>
        <v>0</v>
      </c>
      <c r="H78">
        <f>'Übersicht Score Index'!D78*Rezepte!AR78</f>
        <v>0</v>
      </c>
      <c r="I78">
        <f>'Übersicht Score Index'!E78*Rezepte!AP78</f>
        <v>0</v>
      </c>
      <c r="J78">
        <f>'Übersicht Score Index'!E78*Rezepte!AQ78</f>
        <v>0</v>
      </c>
      <c r="K78">
        <f>'Übersicht Score Index'!E78*Rezepte!AR78</f>
        <v>0</v>
      </c>
      <c r="L78">
        <f>'Übersicht Score Index'!F78*Rezepte!AP78</f>
        <v>0</v>
      </c>
      <c r="M78">
        <f>'Übersicht Score Index'!F78*Rezepte!AQ78</f>
        <v>0</v>
      </c>
      <c r="N78">
        <f>'Übersicht Score Index'!F78*Rezepte!AR78</f>
        <v>0</v>
      </c>
      <c r="O78">
        <f>'Übersicht Score Index'!G78*Rezepte!AP78</f>
        <v>0</v>
      </c>
      <c r="P78">
        <f>'Übersicht Score Index'!G78*Rezepte!AQ78</f>
        <v>0</v>
      </c>
      <c r="Q78">
        <f>'Übersicht Score Index'!G78*Rezepte!AR78</f>
        <v>0</v>
      </c>
      <c r="R78">
        <f>'Übersicht Score Index'!H78*Rezepte!AP78</f>
        <v>0</v>
      </c>
      <c r="S78">
        <f>'Übersicht Score Index'!H78*Rezepte!AQ78</f>
        <v>0</v>
      </c>
      <c r="T78">
        <f>'Übersicht Score Index'!H78*Rezepte!AR78</f>
        <v>0</v>
      </c>
      <c r="U78">
        <f>'Übersicht Score Index'!I78*Rezepte!AP78</f>
        <v>0</v>
      </c>
      <c r="V78">
        <f>'Übersicht Score Index'!I78*Rezepte!AQ78</f>
        <v>0</v>
      </c>
      <c r="W78">
        <f>'Übersicht Score Index'!I78*Rezepte!AR78</f>
        <v>0</v>
      </c>
    </row>
    <row r="79" spans="1:23" x14ac:dyDescent="0.3">
      <c r="A79" s="2" t="s">
        <v>163</v>
      </c>
      <c r="B79" s="2" t="s">
        <v>164</v>
      </c>
      <c r="C79">
        <f>'Übersicht Score Index'!C79*Rezepte!AP79</f>
        <v>0</v>
      </c>
      <c r="D79">
        <f>'Übersicht Score Index'!C79*Rezepte!AQ79</f>
        <v>0</v>
      </c>
      <c r="E79">
        <f>'Übersicht Score Index'!C79*Rezepte!AR79</f>
        <v>0</v>
      </c>
      <c r="F79">
        <f>'Übersicht Score Index'!D79*Rezepte!AP79</f>
        <v>0</v>
      </c>
      <c r="G79">
        <f>'Übersicht Score Index'!D79*Rezepte!AQ79</f>
        <v>0</v>
      </c>
      <c r="H79">
        <f>'Übersicht Score Index'!D79*Rezepte!AR79</f>
        <v>0</v>
      </c>
      <c r="I79">
        <f>'Übersicht Score Index'!E79*Rezepte!AP79</f>
        <v>0</v>
      </c>
      <c r="J79">
        <f>'Übersicht Score Index'!E79*Rezepte!AQ79</f>
        <v>0</v>
      </c>
      <c r="K79">
        <f>'Übersicht Score Index'!E79*Rezepte!AR79</f>
        <v>0</v>
      </c>
      <c r="L79">
        <f>'Übersicht Score Index'!F79*Rezepte!AP79</f>
        <v>0</v>
      </c>
      <c r="M79">
        <f>'Übersicht Score Index'!F79*Rezepte!AQ79</f>
        <v>0</v>
      </c>
      <c r="N79">
        <f>'Übersicht Score Index'!F79*Rezepte!AR79</f>
        <v>0</v>
      </c>
      <c r="O79">
        <f>'Übersicht Score Index'!G79*Rezepte!AP79</f>
        <v>0</v>
      </c>
      <c r="P79">
        <f>'Übersicht Score Index'!G79*Rezepte!AQ79</f>
        <v>0</v>
      </c>
      <c r="Q79">
        <f>'Übersicht Score Index'!G79*Rezepte!AR79</f>
        <v>0</v>
      </c>
      <c r="R79">
        <f>'Übersicht Score Index'!H79*Rezepte!AP79</f>
        <v>0</v>
      </c>
      <c r="S79">
        <f>'Übersicht Score Index'!H79*Rezepte!AQ79</f>
        <v>0</v>
      </c>
      <c r="T79">
        <f>'Übersicht Score Index'!H79*Rezepte!AR79</f>
        <v>0</v>
      </c>
      <c r="U79">
        <f>'Übersicht Score Index'!I79*Rezepte!AP79</f>
        <v>0</v>
      </c>
      <c r="V79">
        <f>'Übersicht Score Index'!I79*Rezepte!AQ79</f>
        <v>0</v>
      </c>
      <c r="W79">
        <f>'Übersicht Score Index'!I79*Rezepte!AR79</f>
        <v>0</v>
      </c>
    </row>
    <row r="80" spans="1:23" x14ac:dyDescent="0.3">
      <c r="A80" s="2" t="s">
        <v>165</v>
      </c>
      <c r="B80" s="2" t="s">
        <v>166</v>
      </c>
      <c r="C80">
        <f>'Übersicht Score Index'!C81*Rezepte!AP81</f>
        <v>0.12085436350617369</v>
      </c>
      <c r="D80">
        <f>'Übersicht Score Index'!C81*Rezepte!AQ81</f>
        <v>6.0427181753086846E-2</v>
      </c>
      <c r="E80">
        <f>'Übersicht Score Index'!C81*Rezepte!AR81</f>
        <v>6.0427181753086846E-2</v>
      </c>
      <c r="F80">
        <f>'Übersicht Score Index'!D81*Rezepte!AP81</f>
        <v>0</v>
      </c>
      <c r="G80">
        <f>'Übersicht Score Index'!D81*Rezepte!AQ81</f>
        <v>0</v>
      </c>
      <c r="H80">
        <f>'Übersicht Score Index'!D81*Rezepte!AR81</f>
        <v>0</v>
      </c>
      <c r="I80">
        <f>'Übersicht Score Index'!E81*Rezepte!AP81</f>
        <v>0</v>
      </c>
      <c r="J80">
        <f>'Übersicht Score Index'!E81*Rezepte!AQ81</f>
        <v>0</v>
      </c>
      <c r="K80">
        <f>'Übersicht Score Index'!E81*Rezepte!AR81</f>
        <v>0</v>
      </c>
      <c r="L80">
        <f>'Übersicht Score Index'!F81*Rezepte!AP81</f>
        <v>0</v>
      </c>
      <c r="M80">
        <f>'Übersicht Score Index'!F81*Rezepte!AQ81</f>
        <v>0</v>
      </c>
      <c r="N80">
        <f>'Übersicht Score Index'!F81*Rezepte!AR81</f>
        <v>0</v>
      </c>
      <c r="O80">
        <f>'Übersicht Score Index'!G81*Rezepte!AP81</f>
        <v>0.12085436350617369</v>
      </c>
      <c r="P80">
        <f>'Übersicht Score Index'!G81*Rezepte!AQ81</f>
        <v>6.0427181753086846E-2</v>
      </c>
      <c r="Q80">
        <f>'Übersicht Score Index'!G81*Rezepte!AR81</f>
        <v>6.0427181753086846E-2</v>
      </c>
      <c r="R80">
        <f>'Übersicht Score Index'!H81*Rezepte!AP81</f>
        <v>0.12085436350617369</v>
      </c>
      <c r="S80">
        <f>'Übersicht Score Index'!H81*Rezepte!AQ81</f>
        <v>6.0427181753086846E-2</v>
      </c>
      <c r="T80">
        <f>'Übersicht Score Index'!H81*Rezepte!AR81</f>
        <v>6.0427181753086846E-2</v>
      </c>
      <c r="U80">
        <f>'Übersicht Score Index'!I81*Rezepte!AP81</f>
        <v>0</v>
      </c>
      <c r="V80">
        <f>'Übersicht Score Index'!I81*Rezepte!AQ81</f>
        <v>0</v>
      </c>
      <c r="W80">
        <f>'Übersicht Score Index'!I81*Rezepte!AR81</f>
        <v>0</v>
      </c>
    </row>
    <row r="81" spans="1:23" x14ac:dyDescent="0.3">
      <c r="A81" s="2" t="s">
        <v>167</v>
      </c>
      <c r="B81" s="2" t="s">
        <v>168</v>
      </c>
      <c r="C81">
        <f>'Übersicht Score Index'!C82*Rezepte!AP82</f>
        <v>0</v>
      </c>
      <c r="D81">
        <f>'Übersicht Score Index'!C82*Rezepte!AQ82</f>
        <v>0</v>
      </c>
      <c r="E81">
        <f>'Übersicht Score Index'!C82*Rezepte!AR82</f>
        <v>0</v>
      </c>
      <c r="F81">
        <f>'Übersicht Score Index'!D82*Rezepte!AP82</f>
        <v>0</v>
      </c>
      <c r="G81">
        <f>'Übersicht Score Index'!D82*Rezepte!AQ82</f>
        <v>0</v>
      </c>
      <c r="H81">
        <f>'Übersicht Score Index'!D82*Rezepte!AR82</f>
        <v>0</v>
      </c>
      <c r="I81">
        <f>'Übersicht Score Index'!E82*Rezepte!AP82</f>
        <v>0.20685234357758764</v>
      </c>
      <c r="J81">
        <f>'Übersicht Score Index'!E82*Rezepte!AQ82</f>
        <v>0.10342617178879382</v>
      </c>
      <c r="K81">
        <f>'Übersicht Score Index'!E82*Rezepte!AR82</f>
        <v>0.10342617178879382</v>
      </c>
      <c r="L81">
        <f>'Übersicht Score Index'!F82*Rezepte!AP82</f>
        <v>0</v>
      </c>
      <c r="M81">
        <f>'Übersicht Score Index'!F82*Rezepte!AQ82</f>
        <v>0</v>
      </c>
      <c r="N81">
        <f>'Übersicht Score Index'!F82*Rezepte!AR82</f>
        <v>0</v>
      </c>
      <c r="O81">
        <f>'Übersicht Score Index'!G82*Rezepte!AP82</f>
        <v>0</v>
      </c>
      <c r="P81">
        <f>'Übersicht Score Index'!G82*Rezepte!AQ82</f>
        <v>0</v>
      </c>
      <c r="Q81">
        <f>'Übersicht Score Index'!G82*Rezepte!AR82</f>
        <v>0</v>
      </c>
      <c r="R81">
        <f>'Übersicht Score Index'!H82*Rezepte!AP82</f>
        <v>0</v>
      </c>
      <c r="S81">
        <f>'Übersicht Score Index'!H82*Rezepte!AQ82</f>
        <v>0</v>
      </c>
      <c r="T81">
        <f>'Übersicht Score Index'!H82*Rezepte!AR82</f>
        <v>0</v>
      </c>
      <c r="U81">
        <f>'Übersicht Score Index'!I82*Rezepte!AP82</f>
        <v>0</v>
      </c>
      <c r="V81">
        <f>'Übersicht Score Index'!I82*Rezepte!AQ82</f>
        <v>0</v>
      </c>
      <c r="W81">
        <f>'Übersicht Score Index'!I82*Rezepte!AR82</f>
        <v>0</v>
      </c>
    </row>
    <row r="82" spans="1:23" x14ac:dyDescent="0.3">
      <c r="A82" s="2" t="s">
        <v>169</v>
      </c>
      <c r="B82" s="2" t="s">
        <v>170</v>
      </c>
      <c r="C82">
        <f>'Übersicht Score Index'!C83*Rezepte!AP83</f>
        <v>0</v>
      </c>
      <c r="D82">
        <f>'Übersicht Score Index'!C83*Rezepte!AQ83</f>
        <v>0</v>
      </c>
      <c r="E82">
        <f>'Übersicht Score Index'!C83*Rezepte!AR83</f>
        <v>0</v>
      </c>
      <c r="F82">
        <f>'Übersicht Score Index'!D83*Rezepte!AP83</f>
        <v>0</v>
      </c>
      <c r="G82">
        <f>'Übersicht Score Index'!D83*Rezepte!AQ83</f>
        <v>0</v>
      </c>
      <c r="H82">
        <f>'Übersicht Score Index'!D83*Rezepte!AR83</f>
        <v>0</v>
      </c>
      <c r="I82">
        <f>'Übersicht Score Index'!E83*Rezepte!AP83</f>
        <v>0</v>
      </c>
      <c r="J82">
        <f>'Übersicht Score Index'!E83*Rezepte!AQ83</f>
        <v>0</v>
      </c>
      <c r="K82">
        <f>'Übersicht Score Index'!E83*Rezepte!AR83</f>
        <v>0</v>
      </c>
      <c r="L82">
        <f>'Übersicht Score Index'!F83*Rezepte!AP83</f>
        <v>0</v>
      </c>
      <c r="M82">
        <f>'Übersicht Score Index'!F83*Rezepte!AQ83</f>
        <v>0</v>
      </c>
      <c r="N82">
        <f>'Übersicht Score Index'!F83*Rezepte!AR83</f>
        <v>0</v>
      </c>
      <c r="O82">
        <f>'Übersicht Score Index'!G83*Rezepte!AP83</f>
        <v>0</v>
      </c>
      <c r="P82">
        <f>'Übersicht Score Index'!G83*Rezepte!AQ83</f>
        <v>0</v>
      </c>
      <c r="Q82">
        <f>'Übersicht Score Index'!G83*Rezepte!AR83</f>
        <v>0</v>
      </c>
      <c r="R82">
        <f>'Übersicht Score Index'!H83*Rezepte!AP83</f>
        <v>0</v>
      </c>
      <c r="S82">
        <f>'Übersicht Score Index'!H83*Rezepte!AQ83</f>
        <v>0</v>
      </c>
      <c r="T82">
        <f>'Übersicht Score Index'!H83*Rezepte!AR83</f>
        <v>0</v>
      </c>
      <c r="U82">
        <f>'Übersicht Score Index'!I83*Rezepte!AP83</f>
        <v>0</v>
      </c>
      <c r="V82">
        <f>'Übersicht Score Index'!I83*Rezepte!AQ83</f>
        <v>0</v>
      </c>
      <c r="W82">
        <f>'Übersicht Score Index'!I83*Rezepte!AR83</f>
        <v>0</v>
      </c>
    </row>
    <row r="83" spans="1:23" x14ac:dyDescent="0.3">
      <c r="A83" s="2" t="s">
        <v>171</v>
      </c>
      <c r="B83" s="2" t="s">
        <v>172</v>
      </c>
      <c r="C83">
        <f>'Übersicht Score Index'!C84*Rezepte!AP84</f>
        <v>0</v>
      </c>
      <c r="D83">
        <f>'Übersicht Score Index'!C84*Rezepte!AQ84</f>
        <v>0</v>
      </c>
      <c r="E83">
        <f>'Übersicht Score Index'!C84*Rezepte!AR84</f>
        <v>0</v>
      </c>
      <c r="F83">
        <f>'Übersicht Score Index'!D84*Rezepte!AP84</f>
        <v>0</v>
      </c>
      <c r="G83">
        <f>'Übersicht Score Index'!D84*Rezepte!AQ84</f>
        <v>0</v>
      </c>
      <c r="H83">
        <f>'Übersicht Score Index'!D84*Rezepte!AR84</f>
        <v>0</v>
      </c>
      <c r="I83">
        <f>'Übersicht Score Index'!E84*Rezepte!AP84</f>
        <v>0</v>
      </c>
      <c r="J83">
        <f>'Übersicht Score Index'!E84*Rezepte!AQ84</f>
        <v>0</v>
      </c>
      <c r="K83">
        <f>'Übersicht Score Index'!E84*Rezepte!AR84</f>
        <v>0</v>
      </c>
      <c r="L83">
        <f>'Übersicht Score Index'!F84*Rezepte!AP84</f>
        <v>0</v>
      </c>
      <c r="M83">
        <f>'Übersicht Score Index'!F84*Rezepte!AQ84</f>
        <v>0</v>
      </c>
      <c r="N83">
        <f>'Übersicht Score Index'!F84*Rezepte!AR84</f>
        <v>0</v>
      </c>
      <c r="O83">
        <f>'Übersicht Score Index'!G84*Rezepte!AP84</f>
        <v>0</v>
      </c>
      <c r="P83">
        <f>'Übersicht Score Index'!G84*Rezepte!AQ84</f>
        <v>0</v>
      </c>
      <c r="Q83">
        <f>'Übersicht Score Index'!G84*Rezepte!AR84</f>
        <v>0</v>
      </c>
      <c r="R83">
        <f>'Übersicht Score Index'!H84*Rezepte!AP84</f>
        <v>0</v>
      </c>
      <c r="S83">
        <f>'Übersicht Score Index'!H84*Rezepte!AQ84</f>
        <v>0</v>
      </c>
      <c r="T83">
        <f>'Übersicht Score Index'!H84*Rezepte!AR84</f>
        <v>0</v>
      </c>
      <c r="U83">
        <f>'Übersicht Score Index'!I84*Rezepte!AP84</f>
        <v>0</v>
      </c>
      <c r="V83">
        <f>'Übersicht Score Index'!I84*Rezepte!AQ84</f>
        <v>0</v>
      </c>
      <c r="W83">
        <f>'Übersicht Score Index'!I84*Rezepte!AR84</f>
        <v>0</v>
      </c>
    </row>
    <row r="84" spans="1:23" x14ac:dyDescent="0.3">
      <c r="A84" s="2" t="s">
        <v>173</v>
      </c>
      <c r="B84" s="2" t="s">
        <v>174</v>
      </c>
      <c r="C84">
        <f>'Übersicht Score Index'!C85*Rezepte!AP85</f>
        <v>0</v>
      </c>
      <c r="D84">
        <f>'Übersicht Score Index'!C85*Rezepte!AQ85</f>
        <v>0</v>
      </c>
      <c r="E84">
        <f>'Übersicht Score Index'!C85*Rezepte!AR85</f>
        <v>0</v>
      </c>
      <c r="F84">
        <f>'Übersicht Score Index'!D85*Rezepte!AP85</f>
        <v>0</v>
      </c>
      <c r="G84">
        <f>'Übersicht Score Index'!D85*Rezepte!AQ85</f>
        <v>0</v>
      </c>
      <c r="H84">
        <f>'Übersicht Score Index'!D85*Rezepte!AR85</f>
        <v>0</v>
      </c>
      <c r="I84">
        <f>'Übersicht Score Index'!E85*Rezepte!AP85</f>
        <v>0</v>
      </c>
      <c r="J84">
        <f>'Übersicht Score Index'!E85*Rezepte!AQ85</f>
        <v>0</v>
      </c>
      <c r="K84">
        <f>'Übersicht Score Index'!E85*Rezepte!AR85</f>
        <v>0</v>
      </c>
      <c r="L84">
        <f>'Übersicht Score Index'!F85*Rezepte!AP85</f>
        <v>0</v>
      </c>
      <c r="M84">
        <f>'Übersicht Score Index'!F85*Rezepte!AQ85</f>
        <v>0</v>
      </c>
      <c r="N84">
        <f>'Übersicht Score Index'!F85*Rezepte!AR85</f>
        <v>0</v>
      </c>
      <c r="O84">
        <f>'Übersicht Score Index'!G85*Rezepte!AP85</f>
        <v>0</v>
      </c>
      <c r="P84">
        <f>'Übersicht Score Index'!G85*Rezepte!AQ85</f>
        <v>0</v>
      </c>
      <c r="Q84">
        <f>'Übersicht Score Index'!G85*Rezepte!AR85</f>
        <v>0</v>
      </c>
      <c r="R84">
        <f>'Übersicht Score Index'!H85*Rezepte!AP85</f>
        <v>0</v>
      </c>
      <c r="S84">
        <f>'Übersicht Score Index'!H85*Rezepte!AQ85</f>
        <v>0</v>
      </c>
      <c r="T84">
        <f>'Übersicht Score Index'!H85*Rezepte!AR85</f>
        <v>0</v>
      </c>
      <c r="U84">
        <f>'Übersicht Score Index'!I85*Rezepte!AP85</f>
        <v>0</v>
      </c>
      <c r="V84">
        <f>'Übersicht Score Index'!I85*Rezepte!AQ85</f>
        <v>0</v>
      </c>
      <c r="W84">
        <f>'Übersicht Score Index'!I85*Rezepte!AR85</f>
        <v>0</v>
      </c>
    </row>
    <row r="85" spans="1:23" x14ac:dyDescent="0.3">
      <c r="A85" s="2" t="s">
        <v>175</v>
      </c>
      <c r="B85" s="2" t="s">
        <v>176</v>
      </c>
      <c r="C85">
        <f>'Übersicht Score Index'!C86*Rezepte!AP86</f>
        <v>0</v>
      </c>
      <c r="D85">
        <f>'Übersicht Score Index'!C86*Rezepte!AQ86</f>
        <v>0</v>
      </c>
      <c r="E85">
        <f>'Übersicht Score Index'!C86*Rezepte!AR86</f>
        <v>0</v>
      </c>
      <c r="F85">
        <f>'Übersicht Score Index'!D86*Rezepte!AP86</f>
        <v>0</v>
      </c>
      <c r="G85">
        <f>'Übersicht Score Index'!D86*Rezepte!AQ86</f>
        <v>0</v>
      </c>
      <c r="H85">
        <f>'Übersicht Score Index'!D86*Rezepte!AR86</f>
        <v>0</v>
      </c>
      <c r="I85">
        <f>'Übersicht Score Index'!E86*Rezepte!AP86</f>
        <v>0.39712664186177954</v>
      </c>
      <c r="J85">
        <f>'Übersicht Score Index'!E86*Rezepte!AQ86</f>
        <v>0.19856332093088977</v>
      </c>
      <c r="K85">
        <f>'Übersicht Score Index'!E86*Rezepte!AR86</f>
        <v>0.19856332093088977</v>
      </c>
      <c r="L85">
        <f>'Übersicht Score Index'!F86*Rezepte!AP86</f>
        <v>0</v>
      </c>
      <c r="M85">
        <f>'Übersicht Score Index'!F86*Rezepte!AQ86</f>
        <v>0</v>
      </c>
      <c r="N85">
        <f>'Übersicht Score Index'!F86*Rezepte!AR86</f>
        <v>0</v>
      </c>
      <c r="O85">
        <f>'Übersicht Score Index'!G86*Rezepte!AP86</f>
        <v>0</v>
      </c>
      <c r="P85">
        <f>'Übersicht Score Index'!G86*Rezepte!AQ86</f>
        <v>0</v>
      </c>
      <c r="Q85">
        <f>'Übersicht Score Index'!G86*Rezepte!AR86</f>
        <v>0</v>
      </c>
      <c r="R85">
        <f>'Übersicht Score Index'!H86*Rezepte!AP86</f>
        <v>0</v>
      </c>
      <c r="S85">
        <f>'Übersicht Score Index'!H86*Rezepte!AQ86</f>
        <v>0</v>
      </c>
      <c r="T85">
        <f>'Übersicht Score Index'!H86*Rezepte!AR86</f>
        <v>0</v>
      </c>
      <c r="U85">
        <f>'Übersicht Score Index'!I86*Rezepte!AP86</f>
        <v>0</v>
      </c>
      <c r="V85">
        <f>'Übersicht Score Index'!I86*Rezepte!AQ86</f>
        <v>0</v>
      </c>
      <c r="W85">
        <f>'Übersicht Score Index'!I86*Rezepte!AR86</f>
        <v>0</v>
      </c>
    </row>
    <row r="86" spans="1:23" x14ac:dyDescent="0.3">
      <c r="A86" s="2" t="s">
        <v>177</v>
      </c>
      <c r="B86" s="2" t="s">
        <v>178</v>
      </c>
      <c r="C86">
        <f>'Übersicht Score Index'!C87*Rezepte!AP87</f>
        <v>0</v>
      </c>
      <c r="D86">
        <f>'Übersicht Score Index'!C87*Rezepte!AQ87</f>
        <v>0</v>
      </c>
      <c r="E86">
        <f>'Übersicht Score Index'!C87*Rezepte!AR87</f>
        <v>0</v>
      </c>
      <c r="F86">
        <f>'Übersicht Score Index'!D87*Rezepte!AP87</f>
        <v>0</v>
      </c>
      <c r="G86">
        <f>'Übersicht Score Index'!D87*Rezepte!AQ87</f>
        <v>0</v>
      </c>
      <c r="H86">
        <f>'Übersicht Score Index'!D87*Rezepte!AR87</f>
        <v>0</v>
      </c>
      <c r="I86">
        <f>'Übersicht Score Index'!E87*Rezepte!AP87</f>
        <v>0</v>
      </c>
      <c r="J86">
        <f>'Übersicht Score Index'!E87*Rezepte!AQ87</f>
        <v>0</v>
      </c>
      <c r="K86">
        <f>'Übersicht Score Index'!E87*Rezepte!AR87</f>
        <v>0</v>
      </c>
      <c r="L86">
        <f>'Übersicht Score Index'!F87*Rezepte!AP87</f>
        <v>0</v>
      </c>
      <c r="M86">
        <f>'Übersicht Score Index'!F87*Rezepte!AQ87</f>
        <v>0</v>
      </c>
      <c r="N86">
        <f>'Übersicht Score Index'!F87*Rezepte!AR87</f>
        <v>0</v>
      </c>
      <c r="O86">
        <f>'Übersicht Score Index'!G87*Rezepte!AP87</f>
        <v>0</v>
      </c>
      <c r="P86">
        <f>'Übersicht Score Index'!G87*Rezepte!AQ87</f>
        <v>0</v>
      </c>
      <c r="Q86">
        <f>'Übersicht Score Index'!G87*Rezepte!AR87</f>
        <v>0</v>
      </c>
      <c r="R86">
        <f>'Übersicht Score Index'!H87*Rezepte!AP87</f>
        <v>0</v>
      </c>
      <c r="S86">
        <f>'Übersicht Score Index'!H87*Rezepte!AQ87</f>
        <v>0</v>
      </c>
      <c r="T86">
        <f>'Übersicht Score Index'!H87*Rezepte!AR87</f>
        <v>0</v>
      </c>
      <c r="U86">
        <f>'Übersicht Score Index'!I87*Rezepte!AP87</f>
        <v>0</v>
      </c>
      <c r="V86">
        <f>'Übersicht Score Index'!I87*Rezepte!AQ87</f>
        <v>0</v>
      </c>
      <c r="W86">
        <f>'Übersicht Score Index'!I87*Rezepte!AR87</f>
        <v>0</v>
      </c>
    </row>
    <row r="87" spans="1:23" x14ac:dyDescent="0.3">
      <c r="A87" s="2" t="s">
        <v>179</v>
      </c>
      <c r="B87" s="2" t="s">
        <v>180</v>
      </c>
      <c r="C87">
        <f>'Übersicht Score Index'!C88*Rezepte!AP88</f>
        <v>0</v>
      </c>
      <c r="D87">
        <f>'Übersicht Score Index'!C88*Rezepte!AQ88</f>
        <v>0</v>
      </c>
      <c r="E87">
        <f>'Übersicht Score Index'!C88*Rezepte!AR88</f>
        <v>0</v>
      </c>
      <c r="F87">
        <f>'Übersicht Score Index'!D88*Rezepte!AP88</f>
        <v>0</v>
      </c>
      <c r="G87">
        <f>'Übersicht Score Index'!D88*Rezepte!AQ88</f>
        <v>0</v>
      </c>
      <c r="H87">
        <f>'Übersicht Score Index'!D88*Rezepte!AR88</f>
        <v>0</v>
      </c>
      <c r="I87">
        <f>'Übersicht Score Index'!E88*Rezepte!AP88</f>
        <v>0</v>
      </c>
      <c r="J87">
        <f>'Übersicht Score Index'!E88*Rezepte!AQ88</f>
        <v>0</v>
      </c>
      <c r="K87">
        <f>'Übersicht Score Index'!E88*Rezepte!AR88</f>
        <v>0</v>
      </c>
      <c r="L87">
        <f>'Übersicht Score Index'!F88*Rezepte!AP88</f>
        <v>0</v>
      </c>
      <c r="M87">
        <f>'Übersicht Score Index'!F88*Rezepte!AQ88</f>
        <v>0</v>
      </c>
      <c r="N87">
        <f>'Übersicht Score Index'!F88*Rezepte!AR88</f>
        <v>0</v>
      </c>
      <c r="O87">
        <f>'Übersicht Score Index'!G88*Rezepte!AP88</f>
        <v>0</v>
      </c>
      <c r="P87">
        <f>'Übersicht Score Index'!G88*Rezepte!AQ88</f>
        <v>0</v>
      </c>
      <c r="Q87">
        <f>'Übersicht Score Index'!G88*Rezepte!AR88</f>
        <v>0</v>
      </c>
      <c r="R87">
        <f>'Übersicht Score Index'!H88*Rezepte!AP88</f>
        <v>0</v>
      </c>
      <c r="S87">
        <f>'Übersicht Score Index'!H88*Rezepte!AQ88</f>
        <v>0</v>
      </c>
      <c r="T87">
        <f>'Übersicht Score Index'!H88*Rezepte!AR88</f>
        <v>0</v>
      </c>
      <c r="U87">
        <f>'Übersicht Score Index'!I88*Rezepte!AP88</f>
        <v>0</v>
      </c>
      <c r="V87">
        <f>'Übersicht Score Index'!I88*Rezepte!AQ88</f>
        <v>0</v>
      </c>
      <c r="W87">
        <f>'Übersicht Score Index'!I88*Rezepte!AR88</f>
        <v>0</v>
      </c>
    </row>
    <row r="88" spans="1:23" x14ac:dyDescent="0.3">
      <c r="A88" s="2" t="s">
        <v>181</v>
      </c>
      <c r="B88" s="2" t="s">
        <v>182</v>
      </c>
      <c r="C88">
        <f>'Übersicht Score Index'!C89*Rezepte!AP89</f>
        <v>0</v>
      </c>
      <c r="D88">
        <f>'Übersicht Score Index'!C89*Rezepte!AQ89</f>
        <v>0</v>
      </c>
      <c r="E88">
        <f>'Übersicht Score Index'!C89*Rezepte!AR89</f>
        <v>0</v>
      </c>
      <c r="F88">
        <f>'Übersicht Score Index'!D89*Rezepte!AP89</f>
        <v>0</v>
      </c>
      <c r="G88">
        <f>'Übersicht Score Index'!D89*Rezepte!AQ89</f>
        <v>0</v>
      </c>
      <c r="H88">
        <f>'Übersicht Score Index'!D89*Rezepte!AR89</f>
        <v>0</v>
      </c>
      <c r="I88">
        <f>'Übersicht Score Index'!E89*Rezepte!AP89</f>
        <v>0</v>
      </c>
      <c r="J88">
        <f>'Übersicht Score Index'!E89*Rezepte!AQ89</f>
        <v>0</v>
      </c>
      <c r="K88">
        <f>'Übersicht Score Index'!E89*Rezepte!AR89</f>
        <v>0</v>
      </c>
      <c r="L88">
        <f>'Übersicht Score Index'!F89*Rezepte!AP89</f>
        <v>0</v>
      </c>
      <c r="M88">
        <f>'Übersicht Score Index'!F89*Rezepte!AQ89</f>
        <v>0</v>
      </c>
      <c r="N88">
        <f>'Übersicht Score Index'!F89*Rezepte!AR89</f>
        <v>0</v>
      </c>
      <c r="O88">
        <f>'Übersicht Score Index'!G89*Rezepte!AP89</f>
        <v>0</v>
      </c>
      <c r="P88">
        <f>'Übersicht Score Index'!G89*Rezepte!AQ89</f>
        <v>0</v>
      </c>
      <c r="Q88">
        <f>'Übersicht Score Index'!G89*Rezepte!AR89</f>
        <v>0</v>
      </c>
      <c r="R88">
        <f>'Übersicht Score Index'!H89*Rezepte!AP89</f>
        <v>0</v>
      </c>
      <c r="S88">
        <f>'Übersicht Score Index'!H89*Rezepte!AQ89</f>
        <v>0</v>
      </c>
      <c r="T88">
        <f>'Übersicht Score Index'!H89*Rezepte!AR89</f>
        <v>0</v>
      </c>
      <c r="U88">
        <f>'Übersicht Score Index'!I89*Rezepte!AP89</f>
        <v>0</v>
      </c>
      <c r="V88">
        <f>'Übersicht Score Index'!I89*Rezepte!AQ89</f>
        <v>0</v>
      </c>
      <c r="W88">
        <f>'Übersicht Score Index'!I89*Rezepte!AR89</f>
        <v>0</v>
      </c>
    </row>
    <row r="89" spans="1:23" x14ac:dyDescent="0.3">
      <c r="A89" s="2" t="s">
        <v>183</v>
      </c>
      <c r="B89" s="2" t="s">
        <v>184</v>
      </c>
      <c r="C89">
        <f>'Übersicht Score Index'!C90*Rezepte!AP90</f>
        <v>0</v>
      </c>
      <c r="D89">
        <f>'Übersicht Score Index'!C90*Rezepte!AQ90</f>
        <v>0</v>
      </c>
      <c r="E89">
        <f>'Übersicht Score Index'!C90*Rezepte!AR90</f>
        <v>0</v>
      </c>
      <c r="F89">
        <f>'Übersicht Score Index'!D90*Rezepte!AP90</f>
        <v>0</v>
      </c>
      <c r="G89">
        <f>'Übersicht Score Index'!D90*Rezepte!AQ90</f>
        <v>0</v>
      </c>
      <c r="H89">
        <f>'Übersicht Score Index'!D90*Rezepte!AR90</f>
        <v>0</v>
      </c>
      <c r="I89">
        <f>'Übersicht Score Index'!E90*Rezepte!AP90</f>
        <v>0</v>
      </c>
      <c r="J89">
        <f>'Übersicht Score Index'!E90*Rezepte!AQ90</f>
        <v>0</v>
      </c>
      <c r="K89">
        <f>'Übersicht Score Index'!E90*Rezepte!AR90</f>
        <v>0</v>
      </c>
      <c r="L89">
        <f>'Übersicht Score Index'!F90*Rezepte!AP90</f>
        <v>0</v>
      </c>
      <c r="M89">
        <f>'Übersicht Score Index'!F90*Rezepte!AQ90</f>
        <v>0</v>
      </c>
      <c r="N89">
        <f>'Übersicht Score Index'!F90*Rezepte!AR90</f>
        <v>0</v>
      </c>
      <c r="O89">
        <f>'Übersicht Score Index'!G90*Rezepte!AP90</f>
        <v>0</v>
      </c>
      <c r="P89">
        <f>'Übersicht Score Index'!G90*Rezepte!AQ90</f>
        <v>0</v>
      </c>
      <c r="Q89">
        <f>'Übersicht Score Index'!G90*Rezepte!AR90</f>
        <v>0</v>
      </c>
      <c r="R89">
        <f>'Übersicht Score Index'!H90*Rezepte!AP90</f>
        <v>0</v>
      </c>
      <c r="S89">
        <f>'Übersicht Score Index'!H90*Rezepte!AQ90</f>
        <v>0</v>
      </c>
      <c r="T89">
        <f>'Übersicht Score Index'!H90*Rezepte!AR90</f>
        <v>0</v>
      </c>
      <c r="U89">
        <f>'Übersicht Score Index'!I90*Rezepte!AP90</f>
        <v>0</v>
      </c>
      <c r="V89">
        <f>'Übersicht Score Index'!I90*Rezepte!AQ90</f>
        <v>0</v>
      </c>
      <c r="W89">
        <f>'Übersicht Score Index'!I90*Rezepte!AR90</f>
        <v>0</v>
      </c>
    </row>
    <row r="90" spans="1:23" x14ac:dyDescent="0.3">
      <c r="A90" s="2" t="s">
        <v>185</v>
      </c>
      <c r="B90" s="2" t="s">
        <v>186</v>
      </c>
      <c r="C90">
        <f>'Übersicht Score Index'!C91*Rezepte!AP91</f>
        <v>0</v>
      </c>
      <c r="D90">
        <f>'Übersicht Score Index'!C91*Rezepte!AQ91</f>
        <v>0</v>
      </c>
      <c r="E90">
        <f>'Übersicht Score Index'!C91*Rezepte!AR91</f>
        <v>0</v>
      </c>
      <c r="F90">
        <f>'Übersicht Score Index'!D91*Rezepte!AP91</f>
        <v>0</v>
      </c>
      <c r="G90">
        <f>'Übersicht Score Index'!D91*Rezepte!AQ91</f>
        <v>0</v>
      </c>
      <c r="H90">
        <f>'Übersicht Score Index'!D91*Rezepte!AR91</f>
        <v>0</v>
      </c>
      <c r="I90">
        <f>'Übersicht Score Index'!E91*Rezepte!AP91</f>
        <v>0</v>
      </c>
      <c r="J90">
        <f>'Übersicht Score Index'!E91*Rezepte!AQ91</f>
        <v>0</v>
      </c>
      <c r="K90">
        <f>'Übersicht Score Index'!E91*Rezepte!AR91</f>
        <v>0</v>
      </c>
      <c r="L90">
        <f>'Übersicht Score Index'!F91*Rezepte!AP91</f>
        <v>0</v>
      </c>
      <c r="M90">
        <f>'Übersicht Score Index'!F91*Rezepte!AQ91</f>
        <v>0</v>
      </c>
      <c r="N90">
        <f>'Übersicht Score Index'!F91*Rezepte!AR91</f>
        <v>0</v>
      </c>
      <c r="O90">
        <f>'Übersicht Score Index'!G91*Rezepte!AP91</f>
        <v>0</v>
      </c>
      <c r="P90">
        <f>'Übersicht Score Index'!G91*Rezepte!AQ91</f>
        <v>0</v>
      </c>
      <c r="Q90">
        <f>'Übersicht Score Index'!G91*Rezepte!AR91</f>
        <v>0</v>
      </c>
      <c r="R90">
        <f>'Übersicht Score Index'!H91*Rezepte!AP91</f>
        <v>0</v>
      </c>
      <c r="S90">
        <f>'Übersicht Score Index'!H91*Rezepte!AQ91</f>
        <v>0</v>
      </c>
      <c r="T90">
        <f>'Übersicht Score Index'!H91*Rezepte!AR91</f>
        <v>0</v>
      </c>
      <c r="U90">
        <f>'Übersicht Score Index'!I91*Rezepte!AP91</f>
        <v>0</v>
      </c>
      <c r="V90">
        <f>'Übersicht Score Index'!I91*Rezepte!AQ91</f>
        <v>0</v>
      </c>
      <c r="W90">
        <f>'Übersicht Score Index'!I91*Rezepte!AR91</f>
        <v>0</v>
      </c>
    </row>
    <row r="91" spans="1:23" x14ac:dyDescent="0.3">
      <c r="A91" s="2" t="s">
        <v>187</v>
      </c>
      <c r="B91" s="2" t="s">
        <v>188</v>
      </c>
      <c r="C91">
        <f>'Übersicht Score Index'!C92*Rezepte!AP92</f>
        <v>0</v>
      </c>
      <c r="D91">
        <f>'Übersicht Score Index'!C92*Rezepte!AQ92</f>
        <v>0</v>
      </c>
      <c r="E91">
        <f>'Übersicht Score Index'!C92*Rezepte!AR92</f>
        <v>0</v>
      </c>
      <c r="F91">
        <f>'Übersicht Score Index'!D92*Rezepte!AP92</f>
        <v>0</v>
      </c>
      <c r="G91">
        <f>'Übersicht Score Index'!D92*Rezepte!AQ92</f>
        <v>0</v>
      </c>
      <c r="H91">
        <f>'Übersicht Score Index'!D92*Rezepte!AR92</f>
        <v>0</v>
      </c>
      <c r="I91">
        <f>'Übersicht Score Index'!E92*Rezepte!AP92</f>
        <v>0.25290518094416281</v>
      </c>
      <c r="J91">
        <f>'Übersicht Score Index'!E92*Rezepte!AQ92</f>
        <v>0.12645259047208141</v>
      </c>
      <c r="K91">
        <f>'Übersicht Score Index'!E92*Rezepte!AR92</f>
        <v>0.12645259047208141</v>
      </c>
      <c r="L91">
        <f>'Übersicht Score Index'!F92*Rezepte!AP92</f>
        <v>0</v>
      </c>
      <c r="M91">
        <f>'Übersicht Score Index'!F92*Rezepte!AQ92</f>
        <v>0</v>
      </c>
      <c r="N91">
        <f>'Übersicht Score Index'!F92*Rezepte!AR92</f>
        <v>0</v>
      </c>
      <c r="O91">
        <f>'Übersicht Score Index'!G92*Rezepte!AP92</f>
        <v>0</v>
      </c>
      <c r="P91">
        <f>'Übersicht Score Index'!G92*Rezepte!AQ92</f>
        <v>0</v>
      </c>
      <c r="Q91">
        <f>'Übersicht Score Index'!G92*Rezepte!AR92</f>
        <v>0</v>
      </c>
      <c r="R91">
        <f>'Übersicht Score Index'!H92*Rezepte!AP92</f>
        <v>0</v>
      </c>
      <c r="S91">
        <f>'Übersicht Score Index'!H92*Rezepte!AQ92</f>
        <v>0</v>
      </c>
      <c r="T91">
        <f>'Übersicht Score Index'!H92*Rezepte!AR92</f>
        <v>0</v>
      </c>
      <c r="U91">
        <f>'Übersicht Score Index'!I92*Rezepte!AP92</f>
        <v>0</v>
      </c>
      <c r="V91">
        <f>'Übersicht Score Index'!I92*Rezepte!AQ92</f>
        <v>0</v>
      </c>
      <c r="W91">
        <f>'Übersicht Score Index'!I92*Rezepte!AR92</f>
        <v>0</v>
      </c>
    </row>
    <row r="92" spans="1:23" x14ac:dyDescent="0.3">
      <c r="A92" s="2" t="s">
        <v>189</v>
      </c>
      <c r="B92" s="2" t="s">
        <v>190</v>
      </c>
      <c r="C92">
        <f>'Übersicht Score Index'!C93*Rezepte!AP93</f>
        <v>0</v>
      </c>
      <c r="D92">
        <f>'Übersicht Score Index'!C93*Rezepte!AQ93</f>
        <v>0</v>
      </c>
      <c r="E92">
        <f>'Übersicht Score Index'!C93*Rezepte!AR93</f>
        <v>0</v>
      </c>
      <c r="F92">
        <f>'Übersicht Score Index'!D93*Rezepte!AP93</f>
        <v>0</v>
      </c>
      <c r="G92">
        <f>'Übersicht Score Index'!D93*Rezepte!AQ93</f>
        <v>0</v>
      </c>
      <c r="H92">
        <f>'Übersicht Score Index'!D93*Rezepte!AR93</f>
        <v>0</v>
      </c>
      <c r="I92">
        <f>'Übersicht Score Index'!E93*Rezepte!AP93</f>
        <v>0</v>
      </c>
      <c r="J92">
        <f>'Übersicht Score Index'!E93*Rezepte!AQ93</f>
        <v>0</v>
      </c>
      <c r="K92">
        <f>'Übersicht Score Index'!E93*Rezepte!AR93</f>
        <v>0</v>
      </c>
      <c r="L92">
        <f>'Übersicht Score Index'!F93*Rezepte!AP93</f>
        <v>0</v>
      </c>
      <c r="M92">
        <f>'Übersicht Score Index'!F93*Rezepte!AQ93</f>
        <v>0</v>
      </c>
      <c r="N92">
        <f>'Übersicht Score Index'!F93*Rezepte!AR93</f>
        <v>0</v>
      </c>
      <c r="O92">
        <f>'Übersicht Score Index'!G93*Rezepte!AP93</f>
        <v>0</v>
      </c>
      <c r="P92">
        <f>'Übersicht Score Index'!G93*Rezepte!AQ93</f>
        <v>0</v>
      </c>
      <c r="Q92">
        <f>'Übersicht Score Index'!G93*Rezepte!AR93</f>
        <v>0</v>
      </c>
      <c r="R92">
        <f>'Übersicht Score Index'!H93*Rezepte!AP93</f>
        <v>0</v>
      </c>
      <c r="S92">
        <f>'Übersicht Score Index'!H93*Rezepte!AQ93</f>
        <v>0</v>
      </c>
      <c r="T92">
        <f>'Übersicht Score Index'!H93*Rezepte!AR93</f>
        <v>0</v>
      </c>
      <c r="U92">
        <f>'Übersicht Score Index'!I93*Rezepte!AP93</f>
        <v>0</v>
      </c>
      <c r="V92">
        <f>'Übersicht Score Index'!I93*Rezepte!AQ93</f>
        <v>0</v>
      </c>
      <c r="W92">
        <f>'Übersicht Score Index'!I93*Rezepte!AR93</f>
        <v>0</v>
      </c>
    </row>
    <row r="93" spans="1:23" x14ac:dyDescent="0.3">
      <c r="A93" s="2" t="s">
        <v>191</v>
      </c>
      <c r="B93" s="2" t="s">
        <v>192</v>
      </c>
      <c r="C93">
        <f>'Übersicht Score Index'!C94*Rezepte!AP94</f>
        <v>0</v>
      </c>
      <c r="D93">
        <f>'Übersicht Score Index'!C94*Rezepte!AQ94</f>
        <v>0</v>
      </c>
      <c r="E93">
        <f>'Übersicht Score Index'!C94*Rezepte!AR94</f>
        <v>0</v>
      </c>
      <c r="F93">
        <f>'Übersicht Score Index'!D94*Rezepte!AP94</f>
        <v>0</v>
      </c>
      <c r="G93">
        <f>'Übersicht Score Index'!D94*Rezepte!AQ94</f>
        <v>0</v>
      </c>
      <c r="H93">
        <f>'Übersicht Score Index'!D94*Rezepte!AR94</f>
        <v>0</v>
      </c>
      <c r="I93">
        <f>'Übersicht Score Index'!E94*Rezepte!AP94</f>
        <v>0</v>
      </c>
      <c r="J93">
        <f>'Übersicht Score Index'!E94*Rezepte!AQ94</f>
        <v>0</v>
      </c>
      <c r="K93">
        <f>'Übersicht Score Index'!E94*Rezepte!AR94</f>
        <v>0</v>
      </c>
      <c r="L93">
        <f>'Übersicht Score Index'!F94*Rezepte!AP94</f>
        <v>0</v>
      </c>
      <c r="M93">
        <f>'Übersicht Score Index'!F94*Rezepte!AQ94</f>
        <v>0</v>
      </c>
      <c r="N93">
        <f>'Übersicht Score Index'!F94*Rezepte!AR94</f>
        <v>0</v>
      </c>
      <c r="O93">
        <f>'Übersicht Score Index'!G94*Rezepte!AP94</f>
        <v>0</v>
      </c>
      <c r="P93">
        <f>'Übersicht Score Index'!G94*Rezepte!AQ94</f>
        <v>0</v>
      </c>
      <c r="Q93">
        <f>'Übersicht Score Index'!G94*Rezepte!AR94</f>
        <v>0</v>
      </c>
      <c r="R93">
        <f>'Übersicht Score Index'!H94*Rezepte!AP94</f>
        <v>0</v>
      </c>
      <c r="S93">
        <f>'Übersicht Score Index'!H94*Rezepte!AQ94</f>
        <v>0</v>
      </c>
      <c r="T93">
        <f>'Übersicht Score Index'!H94*Rezepte!AR94</f>
        <v>0</v>
      </c>
      <c r="U93">
        <f>'Übersicht Score Index'!I94*Rezepte!AP94</f>
        <v>0</v>
      </c>
      <c r="V93">
        <f>'Übersicht Score Index'!I94*Rezepte!AQ94</f>
        <v>0</v>
      </c>
      <c r="W93">
        <f>'Übersicht Score Index'!I94*Rezepte!AR94</f>
        <v>0</v>
      </c>
    </row>
    <row r="94" spans="1:23" x14ac:dyDescent="0.3">
      <c r="A94" s="2" t="s">
        <v>193</v>
      </c>
      <c r="B94" s="2" t="s">
        <v>194</v>
      </c>
      <c r="C94">
        <f>'Übersicht Score Index'!C95*Rezepte!AP95</f>
        <v>0</v>
      </c>
      <c r="D94">
        <f>'Übersicht Score Index'!C95*Rezepte!AQ95</f>
        <v>0</v>
      </c>
      <c r="E94">
        <f>'Übersicht Score Index'!C95*Rezepte!AR95</f>
        <v>0</v>
      </c>
      <c r="F94">
        <f>'Übersicht Score Index'!D95*Rezepte!AP95</f>
        <v>0</v>
      </c>
      <c r="G94">
        <f>'Übersicht Score Index'!D95*Rezepte!AQ95</f>
        <v>0</v>
      </c>
      <c r="H94">
        <f>'Übersicht Score Index'!D95*Rezepte!AR95</f>
        <v>0</v>
      </c>
      <c r="I94">
        <f>'Übersicht Score Index'!E95*Rezepte!AP95</f>
        <v>0</v>
      </c>
      <c r="J94">
        <f>'Übersicht Score Index'!E95*Rezepte!AQ95</f>
        <v>0</v>
      </c>
      <c r="K94">
        <f>'Übersicht Score Index'!E95*Rezepte!AR95</f>
        <v>0</v>
      </c>
      <c r="L94">
        <f>'Übersicht Score Index'!F95*Rezepte!AP95</f>
        <v>0</v>
      </c>
      <c r="M94">
        <f>'Übersicht Score Index'!F95*Rezepte!AQ95</f>
        <v>0</v>
      </c>
      <c r="N94">
        <f>'Übersicht Score Index'!F95*Rezepte!AR95</f>
        <v>0</v>
      </c>
      <c r="O94">
        <f>'Übersicht Score Index'!G95*Rezepte!AP95</f>
        <v>0</v>
      </c>
      <c r="P94">
        <f>'Übersicht Score Index'!G95*Rezepte!AQ95</f>
        <v>0</v>
      </c>
      <c r="Q94">
        <f>'Übersicht Score Index'!G95*Rezepte!AR95</f>
        <v>0</v>
      </c>
      <c r="R94">
        <f>'Übersicht Score Index'!H95*Rezepte!AP95</f>
        <v>0</v>
      </c>
      <c r="S94">
        <f>'Übersicht Score Index'!H95*Rezepte!AQ95</f>
        <v>0</v>
      </c>
      <c r="T94">
        <f>'Übersicht Score Index'!H95*Rezepte!AR95</f>
        <v>0</v>
      </c>
      <c r="U94">
        <f>'Übersicht Score Index'!I95*Rezepte!AP95</f>
        <v>0</v>
      </c>
      <c r="V94">
        <f>'Übersicht Score Index'!I95*Rezepte!AQ95</f>
        <v>0</v>
      </c>
      <c r="W94">
        <f>'Übersicht Score Index'!I95*Rezepte!AR95</f>
        <v>0</v>
      </c>
    </row>
    <row r="95" spans="1:23" x14ac:dyDescent="0.3">
      <c r="A95" s="2" t="s">
        <v>195</v>
      </c>
      <c r="B95" s="2" t="s">
        <v>196</v>
      </c>
      <c r="C95">
        <f>'Übersicht Score Index'!C96*Rezepte!AP96</f>
        <v>0</v>
      </c>
      <c r="D95">
        <f>'Übersicht Score Index'!C96*Rezepte!AQ96</f>
        <v>0</v>
      </c>
      <c r="E95">
        <f>'Übersicht Score Index'!C96*Rezepte!AR96</f>
        <v>0</v>
      </c>
      <c r="F95">
        <f>'Übersicht Score Index'!D96*Rezepte!AP96</f>
        <v>0</v>
      </c>
      <c r="G95">
        <f>'Übersicht Score Index'!D96*Rezepte!AQ96</f>
        <v>0</v>
      </c>
      <c r="H95">
        <f>'Übersicht Score Index'!D96*Rezepte!AR96</f>
        <v>0</v>
      </c>
      <c r="I95">
        <f>'Übersicht Score Index'!E96*Rezepte!AP96</f>
        <v>0</v>
      </c>
      <c r="J95">
        <f>'Übersicht Score Index'!E96*Rezepte!AQ96</f>
        <v>0</v>
      </c>
      <c r="K95">
        <f>'Übersicht Score Index'!E96*Rezepte!AR96</f>
        <v>0</v>
      </c>
      <c r="L95">
        <f>'Übersicht Score Index'!F96*Rezepte!AP96</f>
        <v>0</v>
      </c>
      <c r="M95">
        <f>'Übersicht Score Index'!F96*Rezepte!AQ96</f>
        <v>0</v>
      </c>
      <c r="N95">
        <f>'Übersicht Score Index'!F96*Rezepte!AR96</f>
        <v>0</v>
      </c>
      <c r="O95">
        <f>'Übersicht Score Index'!G96*Rezepte!AP96</f>
        <v>0</v>
      </c>
      <c r="P95">
        <f>'Übersicht Score Index'!G96*Rezepte!AQ96</f>
        <v>0</v>
      </c>
      <c r="Q95">
        <f>'Übersicht Score Index'!G96*Rezepte!AR96</f>
        <v>0</v>
      </c>
      <c r="R95">
        <f>'Übersicht Score Index'!H96*Rezepte!AP96</f>
        <v>0</v>
      </c>
      <c r="S95">
        <f>'Übersicht Score Index'!H96*Rezepte!AQ96</f>
        <v>0</v>
      </c>
      <c r="T95">
        <f>'Übersicht Score Index'!H96*Rezepte!AR96</f>
        <v>0</v>
      </c>
      <c r="U95">
        <f>'Übersicht Score Index'!I96*Rezepte!AP96</f>
        <v>0</v>
      </c>
      <c r="V95">
        <f>'Übersicht Score Index'!I96*Rezepte!AQ96</f>
        <v>0</v>
      </c>
      <c r="W95">
        <f>'Übersicht Score Index'!I96*Rezepte!AR96</f>
        <v>0</v>
      </c>
    </row>
    <row r="96" spans="1:23" x14ac:dyDescent="0.3">
      <c r="A96" s="2" t="s">
        <v>197</v>
      </c>
      <c r="B96" s="2" t="s">
        <v>198</v>
      </c>
      <c r="C96">
        <f>'Übersicht Score Index'!C97*Rezepte!AP97</f>
        <v>0</v>
      </c>
      <c r="D96">
        <f>'Übersicht Score Index'!C97*Rezepte!AQ97</f>
        <v>0</v>
      </c>
      <c r="E96">
        <f>'Übersicht Score Index'!C97*Rezepte!AR97</f>
        <v>0</v>
      </c>
      <c r="F96">
        <f>'Übersicht Score Index'!D97*Rezepte!AP97</f>
        <v>0</v>
      </c>
      <c r="G96">
        <f>'Übersicht Score Index'!D97*Rezepte!AQ97</f>
        <v>0</v>
      </c>
      <c r="H96">
        <f>'Übersicht Score Index'!D97*Rezepte!AR97</f>
        <v>0</v>
      </c>
      <c r="I96">
        <f>'Übersicht Score Index'!E97*Rezepte!AP97</f>
        <v>0</v>
      </c>
      <c r="J96">
        <f>'Übersicht Score Index'!E97*Rezepte!AQ97</f>
        <v>0</v>
      </c>
      <c r="K96">
        <f>'Übersicht Score Index'!E97*Rezepte!AR97</f>
        <v>0</v>
      </c>
      <c r="L96">
        <f>'Übersicht Score Index'!F97*Rezepte!AP97</f>
        <v>0</v>
      </c>
      <c r="M96">
        <f>'Übersicht Score Index'!F97*Rezepte!AQ97</f>
        <v>0</v>
      </c>
      <c r="N96">
        <f>'Übersicht Score Index'!F97*Rezepte!AR97</f>
        <v>0</v>
      </c>
      <c r="O96">
        <f>'Übersicht Score Index'!G97*Rezepte!AP97</f>
        <v>0</v>
      </c>
      <c r="P96">
        <f>'Übersicht Score Index'!G97*Rezepte!AQ97</f>
        <v>0</v>
      </c>
      <c r="Q96">
        <f>'Übersicht Score Index'!G97*Rezepte!AR97</f>
        <v>0</v>
      </c>
      <c r="R96">
        <f>'Übersicht Score Index'!H97*Rezepte!AP97</f>
        <v>0</v>
      </c>
      <c r="S96">
        <f>'Übersicht Score Index'!H97*Rezepte!AQ97</f>
        <v>0</v>
      </c>
      <c r="T96">
        <f>'Übersicht Score Index'!H97*Rezepte!AR97</f>
        <v>0</v>
      </c>
      <c r="U96">
        <f>'Übersicht Score Index'!I97*Rezepte!AP97</f>
        <v>0</v>
      </c>
      <c r="V96">
        <f>'Übersicht Score Index'!I97*Rezepte!AQ97</f>
        <v>0</v>
      </c>
      <c r="W96">
        <f>'Übersicht Score Index'!I97*Rezepte!AR97</f>
        <v>0</v>
      </c>
    </row>
    <row r="97" spans="1:23" x14ac:dyDescent="0.3">
      <c r="A97" s="2" t="s">
        <v>199</v>
      </c>
      <c r="B97" s="2" t="s">
        <v>200</v>
      </c>
      <c r="C97">
        <f>'Übersicht Score Index'!C98*Rezepte!AP98</f>
        <v>0</v>
      </c>
      <c r="D97">
        <f>'Übersicht Score Index'!C98*Rezepte!AQ98</f>
        <v>0</v>
      </c>
      <c r="E97">
        <f>'Übersicht Score Index'!C98*Rezepte!AR98</f>
        <v>0</v>
      </c>
      <c r="F97">
        <f>'Übersicht Score Index'!D98*Rezepte!AP98</f>
        <v>0</v>
      </c>
      <c r="G97">
        <f>'Übersicht Score Index'!D98*Rezepte!AQ98</f>
        <v>0</v>
      </c>
      <c r="H97">
        <f>'Übersicht Score Index'!D98*Rezepte!AR98</f>
        <v>0</v>
      </c>
      <c r="I97">
        <f>'Übersicht Score Index'!E98*Rezepte!AP98</f>
        <v>0</v>
      </c>
      <c r="J97">
        <f>'Übersicht Score Index'!E98*Rezepte!AQ98</f>
        <v>0</v>
      </c>
      <c r="K97">
        <f>'Übersicht Score Index'!E98*Rezepte!AR98</f>
        <v>0</v>
      </c>
      <c r="L97">
        <f>'Übersicht Score Index'!F98*Rezepte!AP98</f>
        <v>0</v>
      </c>
      <c r="M97">
        <f>'Übersicht Score Index'!F98*Rezepte!AQ98</f>
        <v>0</v>
      </c>
      <c r="N97">
        <f>'Übersicht Score Index'!F98*Rezepte!AR98</f>
        <v>0</v>
      </c>
      <c r="O97">
        <f>'Übersicht Score Index'!G98*Rezepte!AP98</f>
        <v>0</v>
      </c>
      <c r="P97">
        <f>'Übersicht Score Index'!G98*Rezepte!AQ98</f>
        <v>0</v>
      </c>
      <c r="Q97">
        <f>'Übersicht Score Index'!G98*Rezepte!AR98</f>
        <v>0</v>
      </c>
      <c r="R97">
        <f>'Übersicht Score Index'!H98*Rezepte!AP98</f>
        <v>0</v>
      </c>
      <c r="S97">
        <f>'Übersicht Score Index'!H98*Rezepte!AQ98</f>
        <v>0</v>
      </c>
      <c r="T97">
        <f>'Übersicht Score Index'!H98*Rezepte!AR98</f>
        <v>0</v>
      </c>
      <c r="U97">
        <f>'Übersicht Score Index'!I98*Rezepte!AP98</f>
        <v>0</v>
      </c>
      <c r="V97">
        <f>'Übersicht Score Index'!I98*Rezepte!AQ98</f>
        <v>0</v>
      </c>
      <c r="W97">
        <f>'Übersicht Score Index'!I98*Rezepte!AR98</f>
        <v>0</v>
      </c>
    </row>
    <row r="98" spans="1:23" x14ac:dyDescent="0.3">
      <c r="A98" s="2" t="s">
        <v>201</v>
      </c>
      <c r="B98" s="2" t="s">
        <v>202</v>
      </c>
      <c r="C98">
        <f>'Übersicht Score Index'!C99*Rezepte!AP99</f>
        <v>0</v>
      </c>
      <c r="D98">
        <f>'Übersicht Score Index'!C99*Rezepte!AQ99</f>
        <v>0</v>
      </c>
      <c r="E98">
        <f>'Übersicht Score Index'!C99*Rezepte!AR99</f>
        <v>0</v>
      </c>
      <c r="F98">
        <f>'Übersicht Score Index'!D99*Rezepte!AP99</f>
        <v>0</v>
      </c>
      <c r="G98">
        <f>'Übersicht Score Index'!D99*Rezepte!AQ99</f>
        <v>0</v>
      </c>
      <c r="H98">
        <f>'Übersicht Score Index'!D99*Rezepte!AR99</f>
        <v>0</v>
      </c>
      <c r="I98">
        <f>'Übersicht Score Index'!E99*Rezepte!AP99</f>
        <v>0</v>
      </c>
      <c r="J98">
        <f>'Übersicht Score Index'!E99*Rezepte!AQ99</f>
        <v>0</v>
      </c>
      <c r="K98">
        <f>'Übersicht Score Index'!E99*Rezepte!AR99</f>
        <v>0</v>
      </c>
      <c r="L98">
        <f>'Übersicht Score Index'!F99*Rezepte!AP99</f>
        <v>0</v>
      </c>
      <c r="M98">
        <f>'Übersicht Score Index'!F99*Rezepte!AQ99</f>
        <v>0</v>
      </c>
      <c r="N98">
        <f>'Übersicht Score Index'!F99*Rezepte!AR99</f>
        <v>0</v>
      </c>
      <c r="O98">
        <f>'Übersicht Score Index'!G99*Rezepte!AP99</f>
        <v>0</v>
      </c>
      <c r="P98">
        <f>'Übersicht Score Index'!G99*Rezepte!AQ99</f>
        <v>0</v>
      </c>
      <c r="Q98">
        <f>'Übersicht Score Index'!G99*Rezepte!AR99</f>
        <v>0</v>
      </c>
      <c r="R98">
        <f>'Übersicht Score Index'!H99*Rezepte!AP99</f>
        <v>0</v>
      </c>
      <c r="S98">
        <f>'Übersicht Score Index'!H99*Rezepte!AQ99</f>
        <v>0</v>
      </c>
      <c r="T98">
        <f>'Übersicht Score Index'!H99*Rezepte!AR99</f>
        <v>0</v>
      </c>
      <c r="U98">
        <f>'Übersicht Score Index'!I99*Rezepte!AP99</f>
        <v>0</v>
      </c>
      <c r="V98">
        <f>'Übersicht Score Index'!I99*Rezepte!AQ99</f>
        <v>0</v>
      </c>
      <c r="W98">
        <f>'Übersicht Score Index'!I99*Rezepte!AR99</f>
        <v>0</v>
      </c>
    </row>
    <row r="99" spans="1:23" x14ac:dyDescent="0.3">
      <c r="A99" s="2" t="s">
        <v>203</v>
      </c>
      <c r="B99" s="2" t="s">
        <v>204</v>
      </c>
      <c r="C99">
        <f>'Übersicht Score Index'!C100*Rezepte!AP100</f>
        <v>0</v>
      </c>
      <c r="D99">
        <f>'Übersicht Score Index'!C100*Rezepte!AQ100</f>
        <v>0</v>
      </c>
      <c r="E99">
        <f>'Übersicht Score Index'!C100*Rezepte!AR100</f>
        <v>0</v>
      </c>
      <c r="F99">
        <f>'Übersicht Score Index'!D100*Rezepte!AP100</f>
        <v>0</v>
      </c>
      <c r="G99">
        <f>'Übersicht Score Index'!D100*Rezepte!AQ100</f>
        <v>0</v>
      </c>
      <c r="H99">
        <f>'Übersicht Score Index'!D100*Rezepte!AR100</f>
        <v>0</v>
      </c>
      <c r="I99">
        <f>'Übersicht Score Index'!E100*Rezepte!AP100</f>
        <v>0</v>
      </c>
      <c r="J99">
        <f>'Übersicht Score Index'!E100*Rezepte!AQ100</f>
        <v>0</v>
      </c>
      <c r="K99">
        <f>'Übersicht Score Index'!E100*Rezepte!AR100</f>
        <v>0</v>
      </c>
      <c r="L99">
        <f>'Übersicht Score Index'!F100*Rezepte!AP100</f>
        <v>0</v>
      </c>
      <c r="M99">
        <f>'Übersicht Score Index'!F100*Rezepte!AQ100</f>
        <v>0</v>
      </c>
      <c r="N99">
        <f>'Übersicht Score Index'!F100*Rezepte!AR100</f>
        <v>0</v>
      </c>
      <c r="O99">
        <f>'Übersicht Score Index'!G100*Rezepte!AP100</f>
        <v>0</v>
      </c>
      <c r="P99">
        <f>'Übersicht Score Index'!G100*Rezepte!AQ100</f>
        <v>0</v>
      </c>
      <c r="Q99">
        <f>'Übersicht Score Index'!G100*Rezepte!AR100</f>
        <v>0</v>
      </c>
      <c r="R99">
        <f>'Übersicht Score Index'!H100*Rezepte!AP100</f>
        <v>0</v>
      </c>
      <c r="S99">
        <f>'Übersicht Score Index'!H100*Rezepte!AQ100</f>
        <v>0</v>
      </c>
      <c r="T99">
        <f>'Übersicht Score Index'!H100*Rezepte!AR100</f>
        <v>0</v>
      </c>
      <c r="U99">
        <f>'Übersicht Score Index'!I100*Rezepte!AP100</f>
        <v>0</v>
      </c>
      <c r="V99">
        <f>'Übersicht Score Index'!I100*Rezepte!AQ100</f>
        <v>0</v>
      </c>
      <c r="W99">
        <f>'Übersicht Score Index'!I100*Rezepte!AR100</f>
        <v>0</v>
      </c>
    </row>
    <row r="100" spans="1:23" x14ac:dyDescent="0.3">
      <c r="A100" s="2" t="s">
        <v>205</v>
      </c>
      <c r="B100" s="2" t="s">
        <v>206</v>
      </c>
      <c r="C100">
        <f>'Übersicht Score Index'!C101*Rezepte!AP101</f>
        <v>0</v>
      </c>
      <c r="D100">
        <f>'Übersicht Score Index'!C101*Rezepte!AQ101</f>
        <v>0</v>
      </c>
      <c r="E100">
        <f>'Übersicht Score Index'!C101*Rezepte!AR101</f>
        <v>0</v>
      </c>
      <c r="F100">
        <f>'Übersicht Score Index'!D101*Rezepte!AP101</f>
        <v>0</v>
      </c>
      <c r="G100">
        <f>'Übersicht Score Index'!D101*Rezepte!AQ101</f>
        <v>0</v>
      </c>
      <c r="H100">
        <f>'Übersicht Score Index'!D101*Rezepte!AR101</f>
        <v>0</v>
      </c>
      <c r="I100">
        <f>'Übersicht Score Index'!E101*Rezepte!AP101</f>
        <v>0</v>
      </c>
      <c r="J100">
        <f>'Übersicht Score Index'!E101*Rezepte!AQ101</f>
        <v>0</v>
      </c>
      <c r="K100">
        <f>'Übersicht Score Index'!E101*Rezepte!AR101</f>
        <v>0</v>
      </c>
      <c r="L100">
        <f>'Übersicht Score Index'!F101*Rezepte!AP101</f>
        <v>0</v>
      </c>
      <c r="M100">
        <f>'Übersicht Score Index'!F101*Rezepte!AQ101</f>
        <v>0</v>
      </c>
      <c r="N100">
        <f>'Übersicht Score Index'!F101*Rezepte!AR101</f>
        <v>0</v>
      </c>
      <c r="O100">
        <f>'Übersicht Score Index'!G101*Rezepte!AP101</f>
        <v>0</v>
      </c>
      <c r="P100">
        <f>'Übersicht Score Index'!G101*Rezepte!AQ101</f>
        <v>0</v>
      </c>
      <c r="Q100">
        <f>'Übersicht Score Index'!G101*Rezepte!AR101</f>
        <v>0</v>
      </c>
      <c r="R100">
        <f>'Übersicht Score Index'!H101*Rezepte!AP101</f>
        <v>0</v>
      </c>
      <c r="S100">
        <f>'Übersicht Score Index'!H101*Rezepte!AQ101</f>
        <v>0</v>
      </c>
      <c r="T100">
        <f>'Übersicht Score Index'!H101*Rezepte!AR101</f>
        <v>0</v>
      </c>
      <c r="U100">
        <f>'Übersicht Score Index'!I101*Rezepte!AP101</f>
        <v>0</v>
      </c>
      <c r="V100">
        <f>'Übersicht Score Index'!I101*Rezepte!AQ101</f>
        <v>0</v>
      </c>
      <c r="W100">
        <f>'Übersicht Score Index'!I101*Rezepte!AR101</f>
        <v>0</v>
      </c>
    </row>
    <row r="101" spans="1:23" x14ac:dyDescent="0.3">
      <c r="A101" s="2" t="s">
        <v>207</v>
      </c>
      <c r="B101" s="2" t="s">
        <v>208</v>
      </c>
      <c r="C101">
        <f>'Übersicht Score Index'!C102*Rezepte!AP102</f>
        <v>0</v>
      </c>
      <c r="D101">
        <f>'Übersicht Score Index'!C102*Rezepte!AQ102</f>
        <v>0</v>
      </c>
      <c r="E101">
        <f>'Übersicht Score Index'!C102*Rezepte!AR102</f>
        <v>0</v>
      </c>
      <c r="F101">
        <f>'Übersicht Score Index'!D102*Rezepte!AP102</f>
        <v>0</v>
      </c>
      <c r="G101">
        <f>'Übersicht Score Index'!D102*Rezepte!AQ102</f>
        <v>0</v>
      </c>
      <c r="H101">
        <f>'Übersicht Score Index'!D102*Rezepte!AR102</f>
        <v>0</v>
      </c>
      <c r="I101">
        <f>'Übersicht Score Index'!E102*Rezepte!AP102</f>
        <v>0</v>
      </c>
      <c r="J101">
        <f>'Übersicht Score Index'!E102*Rezepte!AQ102</f>
        <v>0</v>
      </c>
      <c r="K101">
        <f>'Übersicht Score Index'!E102*Rezepte!AR102</f>
        <v>0</v>
      </c>
      <c r="L101">
        <f>'Übersicht Score Index'!F102*Rezepte!AP102</f>
        <v>0</v>
      </c>
      <c r="M101">
        <f>'Übersicht Score Index'!F102*Rezepte!AQ102</f>
        <v>0</v>
      </c>
      <c r="N101">
        <f>'Übersicht Score Index'!F102*Rezepte!AR102</f>
        <v>0</v>
      </c>
      <c r="O101">
        <f>'Übersicht Score Index'!G102*Rezepte!AP102</f>
        <v>0</v>
      </c>
      <c r="P101">
        <f>'Übersicht Score Index'!G102*Rezepte!AQ102</f>
        <v>0</v>
      </c>
      <c r="Q101">
        <f>'Übersicht Score Index'!G102*Rezepte!AR102</f>
        <v>0</v>
      </c>
      <c r="R101">
        <f>'Übersicht Score Index'!H102*Rezepte!AP102</f>
        <v>0</v>
      </c>
      <c r="S101">
        <f>'Übersicht Score Index'!H102*Rezepte!AQ102</f>
        <v>0</v>
      </c>
      <c r="T101">
        <f>'Übersicht Score Index'!H102*Rezepte!AR102</f>
        <v>0</v>
      </c>
      <c r="U101">
        <f>'Übersicht Score Index'!I102*Rezepte!AP102</f>
        <v>0</v>
      </c>
      <c r="V101">
        <f>'Übersicht Score Index'!I102*Rezepte!AQ102</f>
        <v>0</v>
      </c>
      <c r="W101">
        <f>'Übersicht Score Index'!I102*Rezepte!AR102</f>
        <v>0</v>
      </c>
    </row>
    <row r="102" spans="1:23" x14ac:dyDescent="0.3">
      <c r="A102" s="7" t="s">
        <v>209</v>
      </c>
      <c r="B102" s="6" t="s">
        <v>210</v>
      </c>
      <c r="C102">
        <f>'Übersicht Score Index'!C103*Rezepte!AP103</f>
        <v>0</v>
      </c>
      <c r="D102">
        <f>'Übersicht Score Index'!C103*Rezepte!AQ103</f>
        <v>0</v>
      </c>
      <c r="E102">
        <f>'Übersicht Score Index'!C103*Rezepte!AR103</f>
        <v>0</v>
      </c>
      <c r="F102">
        <f>'Übersicht Score Index'!D103*Rezepte!AP103</f>
        <v>0</v>
      </c>
      <c r="G102">
        <f>'Übersicht Score Index'!D103*Rezepte!AQ103</f>
        <v>0</v>
      </c>
      <c r="H102">
        <f>'Übersicht Score Index'!D103*Rezepte!AR103</f>
        <v>0</v>
      </c>
      <c r="I102">
        <f>'Übersicht Score Index'!E103*Rezepte!AP103</f>
        <v>0</v>
      </c>
      <c r="J102">
        <f>'Übersicht Score Index'!E103*Rezepte!AQ103</f>
        <v>0</v>
      </c>
      <c r="K102">
        <f>'Übersicht Score Index'!E103*Rezepte!AR103</f>
        <v>0</v>
      </c>
      <c r="L102">
        <f>'Übersicht Score Index'!F103*Rezepte!AP103</f>
        <v>0</v>
      </c>
      <c r="M102">
        <f>'Übersicht Score Index'!F103*Rezepte!AQ103</f>
        <v>0</v>
      </c>
      <c r="N102">
        <f>'Übersicht Score Index'!F103*Rezepte!AR103</f>
        <v>0</v>
      </c>
      <c r="O102">
        <f>'Übersicht Score Index'!G103*Rezepte!AP103</f>
        <v>0</v>
      </c>
      <c r="P102">
        <f>'Übersicht Score Index'!G103*Rezepte!AQ103</f>
        <v>0</v>
      </c>
      <c r="Q102">
        <f>'Übersicht Score Index'!G103*Rezepte!AR103</f>
        <v>0</v>
      </c>
      <c r="R102">
        <f>'Übersicht Score Index'!H103*Rezepte!AP103</f>
        <v>0</v>
      </c>
      <c r="S102">
        <f>'Übersicht Score Index'!H103*Rezepte!AQ103</f>
        <v>0</v>
      </c>
      <c r="T102">
        <f>'Übersicht Score Index'!H103*Rezepte!AR103</f>
        <v>0</v>
      </c>
      <c r="U102">
        <f>'Übersicht Score Index'!I103*Rezepte!AP103</f>
        <v>0</v>
      </c>
      <c r="V102">
        <f>'Übersicht Score Index'!I103*Rezepte!AQ103</f>
        <v>0</v>
      </c>
      <c r="W102">
        <f>'Übersicht Score Index'!I103*Rezepte!AR103</f>
        <v>0</v>
      </c>
    </row>
    <row r="103" spans="1:23" x14ac:dyDescent="0.3">
      <c r="A103" s="7" t="s">
        <v>211</v>
      </c>
      <c r="B103" s="6" t="s">
        <v>212</v>
      </c>
      <c r="C103">
        <f>'Übersicht Score Index'!C104*Rezepte!AP104</f>
        <v>0</v>
      </c>
      <c r="D103">
        <f>'Übersicht Score Index'!C104*Rezepte!AQ104</f>
        <v>0</v>
      </c>
      <c r="E103">
        <f>'Übersicht Score Index'!C104*Rezepte!AR104</f>
        <v>0</v>
      </c>
      <c r="F103">
        <f>'Übersicht Score Index'!D104*Rezepte!AP104</f>
        <v>0</v>
      </c>
      <c r="G103">
        <f>'Übersicht Score Index'!D104*Rezepte!AQ104</f>
        <v>0</v>
      </c>
      <c r="H103">
        <f>'Übersicht Score Index'!D104*Rezepte!AR104</f>
        <v>0</v>
      </c>
      <c r="I103">
        <f>'Übersicht Score Index'!E104*Rezepte!AP104</f>
        <v>0</v>
      </c>
      <c r="J103">
        <f>'Übersicht Score Index'!E104*Rezepte!AQ104</f>
        <v>0</v>
      </c>
      <c r="K103">
        <f>'Übersicht Score Index'!E104*Rezepte!AR104</f>
        <v>0</v>
      </c>
      <c r="L103">
        <f>'Übersicht Score Index'!F104*Rezepte!AP104</f>
        <v>0</v>
      </c>
      <c r="M103">
        <f>'Übersicht Score Index'!F104*Rezepte!AQ104</f>
        <v>0</v>
      </c>
      <c r="N103">
        <f>'Übersicht Score Index'!F104*Rezepte!AR104</f>
        <v>0</v>
      </c>
      <c r="O103">
        <f>'Übersicht Score Index'!G104*Rezepte!AP104</f>
        <v>0</v>
      </c>
      <c r="P103">
        <f>'Übersicht Score Index'!G104*Rezepte!AQ104</f>
        <v>0</v>
      </c>
      <c r="Q103">
        <f>'Übersicht Score Index'!G104*Rezepte!AR104</f>
        <v>0</v>
      </c>
      <c r="R103">
        <f>'Übersicht Score Index'!H104*Rezepte!AP104</f>
        <v>0</v>
      </c>
      <c r="S103">
        <f>'Übersicht Score Index'!H104*Rezepte!AQ104</f>
        <v>0</v>
      </c>
      <c r="T103">
        <f>'Übersicht Score Index'!H104*Rezepte!AR104</f>
        <v>0</v>
      </c>
      <c r="U103">
        <f>'Übersicht Score Index'!I104*Rezepte!AP104</f>
        <v>0</v>
      </c>
      <c r="V103">
        <f>'Übersicht Score Index'!I104*Rezepte!AQ104</f>
        <v>0</v>
      </c>
      <c r="W103">
        <f>'Übersicht Score Index'!I104*Rezepte!AR104</f>
        <v>0</v>
      </c>
    </row>
    <row r="104" spans="1:23" x14ac:dyDescent="0.3">
      <c r="A104" s="2" t="s">
        <v>213</v>
      </c>
      <c r="B104" s="2" t="s">
        <v>214</v>
      </c>
      <c r="C104">
        <f>'Übersicht Score Index'!C105*Rezepte!AP105</f>
        <v>0</v>
      </c>
      <c r="D104">
        <f>'Übersicht Score Index'!C105*Rezepte!AQ105</f>
        <v>0</v>
      </c>
      <c r="E104">
        <f>'Übersicht Score Index'!C105*Rezepte!AR105</f>
        <v>0</v>
      </c>
      <c r="F104">
        <f>'Übersicht Score Index'!D105*Rezepte!AP105</f>
        <v>0</v>
      </c>
      <c r="G104">
        <f>'Übersicht Score Index'!D105*Rezepte!AQ105</f>
        <v>0</v>
      </c>
      <c r="H104">
        <f>'Übersicht Score Index'!D105*Rezepte!AR105</f>
        <v>0</v>
      </c>
      <c r="I104">
        <f>'Übersicht Score Index'!E105*Rezepte!AP105</f>
        <v>0</v>
      </c>
      <c r="J104">
        <f>'Übersicht Score Index'!E105*Rezepte!AQ105</f>
        <v>0</v>
      </c>
      <c r="K104">
        <f>'Übersicht Score Index'!E105*Rezepte!AR105</f>
        <v>0</v>
      </c>
      <c r="L104">
        <f>'Übersicht Score Index'!F105*Rezepte!AP105</f>
        <v>0</v>
      </c>
      <c r="M104">
        <f>'Übersicht Score Index'!F105*Rezepte!AQ105</f>
        <v>0</v>
      </c>
      <c r="N104">
        <f>'Übersicht Score Index'!F105*Rezepte!AR105</f>
        <v>0</v>
      </c>
      <c r="O104">
        <f>'Übersicht Score Index'!G105*Rezepte!AP105</f>
        <v>0</v>
      </c>
      <c r="P104">
        <f>'Übersicht Score Index'!G105*Rezepte!AQ105</f>
        <v>0</v>
      </c>
      <c r="Q104">
        <f>'Übersicht Score Index'!G105*Rezepte!AR105</f>
        <v>0</v>
      </c>
      <c r="R104">
        <f>'Übersicht Score Index'!H105*Rezepte!AP105</f>
        <v>0</v>
      </c>
      <c r="S104">
        <f>'Übersicht Score Index'!H105*Rezepte!AQ105</f>
        <v>0</v>
      </c>
      <c r="T104">
        <f>'Übersicht Score Index'!H105*Rezepte!AR105</f>
        <v>0</v>
      </c>
      <c r="U104">
        <f>'Übersicht Score Index'!I105*Rezepte!AP105</f>
        <v>0</v>
      </c>
      <c r="V104">
        <f>'Übersicht Score Index'!I105*Rezepte!AQ105</f>
        <v>0</v>
      </c>
      <c r="W104">
        <f>'Übersicht Score Index'!I105*Rezepte!AR105</f>
        <v>0</v>
      </c>
    </row>
    <row r="105" spans="1:23" x14ac:dyDescent="0.3">
      <c r="A105" s="2" t="s">
        <v>215</v>
      </c>
      <c r="B105" s="2" t="s">
        <v>216</v>
      </c>
      <c r="C105">
        <f>'Übersicht Score Index'!C106*Rezepte!AP106</f>
        <v>0</v>
      </c>
      <c r="D105">
        <f>'Übersicht Score Index'!C106*Rezepte!AQ106</f>
        <v>0</v>
      </c>
      <c r="E105">
        <f>'Übersicht Score Index'!C106*Rezepte!AR106</f>
        <v>0</v>
      </c>
      <c r="F105">
        <f>'Übersicht Score Index'!D106*Rezepte!AP106</f>
        <v>0</v>
      </c>
      <c r="G105">
        <f>'Übersicht Score Index'!D106*Rezepte!AQ106</f>
        <v>0</v>
      </c>
      <c r="H105">
        <f>'Übersicht Score Index'!D106*Rezepte!AR106</f>
        <v>0</v>
      </c>
      <c r="I105">
        <f>'Übersicht Score Index'!E106*Rezepte!AP106</f>
        <v>0</v>
      </c>
      <c r="J105">
        <f>'Übersicht Score Index'!E106*Rezepte!AQ106</f>
        <v>0</v>
      </c>
      <c r="K105">
        <f>'Übersicht Score Index'!E106*Rezepte!AR106</f>
        <v>0</v>
      </c>
      <c r="L105">
        <f>'Übersicht Score Index'!F106*Rezepte!AP106</f>
        <v>0</v>
      </c>
      <c r="M105">
        <f>'Übersicht Score Index'!F106*Rezepte!AQ106</f>
        <v>0</v>
      </c>
      <c r="N105">
        <f>'Übersicht Score Index'!F106*Rezepte!AR106</f>
        <v>0</v>
      </c>
      <c r="O105">
        <f>'Übersicht Score Index'!G106*Rezepte!AP106</f>
        <v>0</v>
      </c>
      <c r="P105">
        <f>'Übersicht Score Index'!G106*Rezepte!AQ106</f>
        <v>0</v>
      </c>
      <c r="Q105">
        <f>'Übersicht Score Index'!G106*Rezepte!AR106</f>
        <v>0</v>
      </c>
      <c r="R105">
        <f>'Übersicht Score Index'!H106*Rezepte!AP106</f>
        <v>0</v>
      </c>
      <c r="S105">
        <f>'Übersicht Score Index'!H106*Rezepte!AQ106</f>
        <v>0</v>
      </c>
      <c r="T105">
        <f>'Übersicht Score Index'!H106*Rezepte!AR106</f>
        <v>0</v>
      </c>
      <c r="U105">
        <f>'Übersicht Score Index'!I106*Rezepte!AP106</f>
        <v>0</v>
      </c>
      <c r="V105">
        <f>'Übersicht Score Index'!I106*Rezepte!AQ106</f>
        <v>0</v>
      </c>
      <c r="W105">
        <f>'Übersicht Score Index'!I106*Rezepte!AR106</f>
        <v>0</v>
      </c>
    </row>
    <row r="106" spans="1:23" x14ac:dyDescent="0.3">
      <c r="A106" s="2" t="s">
        <v>217</v>
      </c>
      <c r="B106" s="2" t="s">
        <v>218</v>
      </c>
      <c r="C106">
        <f>'Übersicht Score Index'!C107*Rezepte!AP107</f>
        <v>0</v>
      </c>
      <c r="D106">
        <f>'Übersicht Score Index'!C107*Rezepte!AQ107</f>
        <v>0</v>
      </c>
      <c r="E106">
        <f>'Übersicht Score Index'!C107*Rezepte!AR107</f>
        <v>0</v>
      </c>
      <c r="F106">
        <f>'Übersicht Score Index'!D107*Rezepte!AP107</f>
        <v>0</v>
      </c>
      <c r="G106">
        <f>'Übersicht Score Index'!D107*Rezepte!AQ107</f>
        <v>0</v>
      </c>
      <c r="H106">
        <f>'Übersicht Score Index'!D107*Rezepte!AR107</f>
        <v>0</v>
      </c>
      <c r="I106">
        <f>'Übersicht Score Index'!E107*Rezepte!AP107</f>
        <v>0</v>
      </c>
      <c r="J106">
        <f>'Übersicht Score Index'!E107*Rezepte!AQ107</f>
        <v>0</v>
      </c>
      <c r="K106">
        <f>'Übersicht Score Index'!E107*Rezepte!AR107</f>
        <v>0</v>
      </c>
      <c r="L106">
        <f>'Übersicht Score Index'!F107*Rezepte!AP107</f>
        <v>0</v>
      </c>
      <c r="M106">
        <f>'Übersicht Score Index'!F107*Rezepte!AQ107</f>
        <v>0</v>
      </c>
      <c r="N106">
        <f>'Übersicht Score Index'!F107*Rezepte!AR107</f>
        <v>0</v>
      </c>
      <c r="O106">
        <f>'Übersicht Score Index'!G107*Rezepte!AP107</f>
        <v>0</v>
      </c>
      <c r="P106">
        <f>'Übersicht Score Index'!G107*Rezepte!AQ107</f>
        <v>0</v>
      </c>
      <c r="Q106">
        <f>'Übersicht Score Index'!G107*Rezepte!AR107</f>
        <v>0</v>
      </c>
      <c r="R106">
        <f>'Übersicht Score Index'!H107*Rezepte!AP107</f>
        <v>0</v>
      </c>
      <c r="S106">
        <f>'Übersicht Score Index'!H107*Rezepte!AQ107</f>
        <v>0</v>
      </c>
      <c r="T106">
        <f>'Übersicht Score Index'!H107*Rezepte!AR107</f>
        <v>0</v>
      </c>
      <c r="U106">
        <f>'Übersicht Score Index'!I107*Rezepte!AP107</f>
        <v>0</v>
      </c>
      <c r="V106">
        <f>'Übersicht Score Index'!I107*Rezepte!AQ107</f>
        <v>0</v>
      </c>
      <c r="W106">
        <f>'Übersicht Score Index'!I107*Rezepte!AR107</f>
        <v>0</v>
      </c>
    </row>
    <row r="107" spans="1:23" x14ac:dyDescent="0.3">
      <c r="A107" s="2" t="s">
        <v>219</v>
      </c>
      <c r="B107" s="2" t="s">
        <v>220</v>
      </c>
      <c r="C107">
        <f>'Übersicht Score Index'!C108*Rezepte!AP108</f>
        <v>0</v>
      </c>
      <c r="D107">
        <f>'Übersicht Score Index'!C108*Rezepte!AQ108</f>
        <v>0</v>
      </c>
      <c r="E107">
        <f>'Übersicht Score Index'!C108*Rezepte!AR108</f>
        <v>0</v>
      </c>
      <c r="F107">
        <f>'Übersicht Score Index'!D108*Rezepte!AP108</f>
        <v>0</v>
      </c>
      <c r="G107">
        <f>'Übersicht Score Index'!D108*Rezepte!AQ108</f>
        <v>0</v>
      </c>
      <c r="H107">
        <f>'Übersicht Score Index'!D108*Rezepte!AR108</f>
        <v>0</v>
      </c>
      <c r="I107">
        <f>'Übersicht Score Index'!E108*Rezepte!AP108</f>
        <v>0</v>
      </c>
      <c r="J107">
        <f>'Übersicht Score Index'!E108*Rezepte!AQ108</f>
        <v>0</v>
      </c>
      <c r="K107">
        <f>'Übersicht Score Index'!E108*Rezepte!AR108</f>
        <v>0</v>
      </c>
      <c r="L107">
        <f>'Übersicht Score Index'!F108*Rezepte!AP108</f>
        <v>0</v>
      </c>
      <c r="M107">
        <f>'Übersicht Score Index'!F108*Rezepte!AQ108</f>
        <v>0</v>
      </c>
      <c r="N107">
        <f>'Übersicht Score Index'!F108*Rezepte!AR108</f>
        <v>0</v>
      </c>
      <c r="O107">
        <f>'Übersicht Score Index'!G108*Rezepte!AP108</f>
        <v>0</v>
      </c>
      <c r="P107">
        <f>'Übersicht Score Index'!G108*Rezepte!AQ108</f>
        <v>0</v>
      </c>
      <c r="Q107">
        <f>'Übersicht Score Index'!G108*Rezepte!AR108</f>
        <v>0</v>
      </c>
      <c r="R107">
        <f>'Übersicht Score Index'!H108*Rezepte!AP108</f>
        <v>0</v>
      </c>
      <c r="S107">
        <f>'Übersicht Score Index'!H108*Rezepte!AQ108</f>
        <v>0</v>
      </c>
      <c r="T107">
        <f>'Übersicht Score Index'!H108*Rezepte!AR108</f>
        <v>0</v>
      </c>
      <c r="U107">
        <f>'Übersicht Score Index'!I108*Rezepte!AP108</f>
        <v>0</v>
      </c>
      <c r="V107">
        <f>'Übersicht Score Index'!I108*Rezepte!AQ108</f>
        <v>0</v>
      </c>
      <c r="W107">
        <f>'Übersicht Score Index'!I108*Rezepte!AR108</f>
        <v>0</v>
      </c>
    </row>
    <row r="108" spans="1:23" x14ac:dyDescent="0.3">
      <c r="A108" s="2" t="s">
        <v>221</v>
      </c>
      <c r="B108" s="2" t="s">
        <v>222</v>
      </c>
      <c r="C108">
        <f>'Übersicht Score Index'!C109*Rezepte!AP109</f>
        <v>0</v>
      </c>
      <c r="D108">
        <f>'Übersicht Score Index'!C109*Rezepte!AQ109</f>
        <v>0</v>
      </c>
      <c r="E108">
        <f>'Übersicht Score Index'!C109*Rezepte!AR109</f>
        <v>0</v>
      </c>
      <c r="F108">
        <f>'Übersicht Score Index'!D109*Rezepte!AP109</f>
        <v>0</v>
      </c>
      <c r="G108">
        <f>'Übersicht Score Index'!D109*Rezepte!AQ109</f>
        <v>0</v>
      </c>
      <c r="H108">
        <f>'Übersicht Score Index'!D109*Rezepte!AR109</f>
        <v>0</v>
      </c>
      <c r="I108">
        <f>'Übersicht Score Index'!E109*Rezepte!AP109</f>
        <v>0</v>
      </c>
      <c r="J108">
        <f>'Übersicht Score Index'!E109*Rezepte!AQ109</f>
        <v>0</v>
      </c>
      <c r="K108">
        <f>'Übersicht Score Index'!E109*Rezepte!AR109</f>
        <v>0</v>
      </c>
      <c r="L108">
        <f>'Übersicht Score Index'!F109*Rezepte!AP109</f>
        <v>0</v>
      </c>
      <c r="M108">
        <f>'Übersicht Score Index'!F109*Rezepte!AQ109</f>
        <v>0</v>
      </c>
      <c r="N108">
        <f>'Übersicht Score Index'!F109*Rezepte!AR109</f>
        <v>0</v>
      </c>
      <c r="O108">
        <f>'Übersicht Score Index'!G109*Rezepte!AP109</f>
        <v>0</v>
      </c>
      <c r="P108">
        <f>'Übersicht Score Index'!G109*Rezepte!AQ109</f>
        <v>0</v>
      </c>
      <c r="Q108">
        <f>'Übersicht Score Index'!G109*Rezepte!AR109</f>
        <v>0</v>
      </c>
      <c r="R108">
        <f>'Übersicht Score Index'!H109*Rezepte!AP109</f>
        <v>0</v>
      </c>
      <c r="S108">
        <f>'Übersicht Score Index'!H109*Rezepte!AQ109</f>
        <v>0</v>
      </c>
      <c r="T108">
        <f>'Übersicht Score Index'!H109*Rezepte!AR109</f>
        <v>0</v>
      </c>
      <c r="U108">
        <f>'Übersicht Score Index'!I109*Rezepte!AP109</f>
        <v>0</v>
      </c>
      <c r="V108">
        <f>'Übersicht Score Index'!I109*Rezepte!AQ109</f>
        <v>0</v>
      </c>
      <c r="W108">
        <f>'Übersicht Score Index'!I109*Rezepte!AR109</f>
        <v>0</v>
      </c>
    </row>
    <row r="109" spans="1:23" x14ac:dyDescent="0.3">
      <c r="A109" s="2" t="s">
        <v>223</v>
      </c>
      <c r="B109" s="2" t="s">
        <v>224</v>
      </c>
      <c r="C109">
        <f>'Übersicht Score Index'!C110*Rezepte!AP110</f>
        <v>0</v>
      </c>
      <c r="D109">
        <f>'Übersicht Score Index'!C110*Rezepte!AQ110</f>
        <v>0</v>
      </c>
      <c r="E109">
        <f>'Übersicht Score Index'!C110*Rezepte!AR110</f>
        <v>0</v>
      </c>
      <c r="F109">
        <f>'Übersicht Score Index'!D110*Rezepte!AP110</f>
        <v>0.18861663668593587</v>
      </c>
      <c r="G109">
        <f>'Übersicht Score Index'!D110*Rezepte!AQ110</f>
        <v>9.4308318342967934E-2</v>
      </c>
      <c r="H109">
        <f>'Übersicht Score Index'!D110*Rezepte!AR110</f>
        <v>9.4308318342967934E-2</v>
      </c>
      <c r="I109">
        <f>'Übersicht Score Index'!E110*Rezepte!AP110</f>
        <v>0</v>
      </c>
      <c r="J109">
        <f>'Übersicht Score Index'!E110*Rezepte!AQ110</f>
        <v>0</v>
      </c>
      <c r="K109">
        <f>'Übersicht Score Index'!E110*Rezepte!AR110</f>
        <v>0</v>
      </c>
      <c r="L109">
        <f>'Übersicht Score Index'!F110*Rezepte!AP110</f>
        <v>5.2393510190537743E-2</v>
      </c>
      <c r="M109">
        <f>'Übersicht Score Index'!F110*Rezepte!AQ110</f>
        <v>2.6196755095268871E-2</v>
      </c>
      <c r="N109">
        <f>'Übersicht Score Index'!F110*Rezepte!AR110</f>
        <v>2.6196755095268871E-2</v>
      </c>
      <c r="O109">
        <f>'Übersicht Score Index'!G110*Rezepte!AP110</f>
        <v>0</v>
      </c>
      <c r="P109">
        <f>'Übersicht Score Index'!G110*Rezepte!AQ110</f>
        <v>0</v>
      </c>
      <c r="Q109">
        <f>'Übersicht Score Index'!G110*Rezepte!AR110</f>
        <v>0</v>
      </c>
      <c r="R109">
        <f>'Übersicht Score Index'!H110*Rezepte!AP110</f>
        <v>0</v>
      </c>
      <c r="S109">
        <f>'Übersicht Score Index'!H110*Rezepte!AQ110</f>
        <v>0</v>
      </c>
      <c r="T109">
        <f>'Übersicht Score Index'!H110*Rezepte!AR110</f>
        <v>0</v>
      </c>
      <c r="U109">
        <f>'Übersicht Score Index'!I110*Rezepte!AP110</f>
        <v>0</v>
      </c>
      <c r="V109">
        <f>'Übersicht Score Index'!I110*Rezepte!AQ110</f>
        <v>0</v>
      </c>
      <c r="W109">
        <f>'Übersicht Score Index'!I110*Rezepte!AR110</f>
        <v>0</v>
      </c>
    </row>
    <row r="110" spans="1:23" x14ac:dyDescent="0.3">
      <c r="A110" s="2" t="s">
        <v>225</v>
      </c>
      <c r="B110" s="2" t="s">
        <v>226</v>
      </c>
      <c r="C110">
        <f>'Übersicht Score Index'!C111*Rezepte!AP111</f>
        <v>0</v>
      </c>
      <c r="D110">
        <f>'Übersicht Score Index'!C111*Rezepte!AQ111</f>
        <v>0</v>
      </c>
      <c r="E110">
        <f>'Übersicht Score Index'!C111*Rezepte!AR111</f>
        <v>0</v>
      </c>
      <c r="F110">
        <f>'Übersicht Score Index'!D111*Rezepte!AP111</f>
        <v>0</v>
      </c>
      <c r="G110">
        <f>'Übersicht Score Index'!D111*Rezepte!AQ111</f>
        <v>0</v>
      </c>
      <c r="H110">
        <f>'Übersicht Score Index'!D111*Rezepte!AR111</f>
        <v>0</v>
      </c>
      <c r="I110">
        <f>'Übersicht Score Index'!E111*Rezepte!AP111</f>
        <v>0</v>
      </c>
      <c r="J110">
        <f>'Übersicht Score Index'!E111*Rezepte!AQ111</f>
        <v>0</v>
      </c>
      <c r="K110">
        <f>'Übersicht Score Index'!E111*Rezepte!AR111</f>
        <v>0</v>
      </c>
      <c r="L110">
        <f>'Übersicht Score Index'!F111*Rezepte!AP111</f>
        <v>0</v>
      </c>
      <c r="M110">
        <f>'Übersicht Score Index'!F111*Rezepte!AQ111</f>
        <v>0</v>
      </c>
      <c r="N110">
        <f>'Übersicht Score Index'!F111*Rezepte!AR111</f>
        <v>0</v>
      </c>
      <c r="O110">
        <f>'Übersicht Score Index'!G111*Rezepte!AP111</f>
        <v>0</v>
      </c>
      <c r="P110">
        <f>'Übersicht Score Index'!G111*Rezepte!AQ111</f>
        <v>0</v>
      </c>
      <c r="Q110">
        <f>'Übersicht Score Index'!G111*Rezepte!AR111</f>
        <v>0</v>
      </c>
      <c r="R110">
        <f>'Übersicht Score Index'!H111*Rezepte!AP111</f>
        <v>0</v>
      </c>
      <c r="S110">
        <f>'Übersicht Score Index'!H111*Rezepte!AQ111</f>
        <v>0</v>
      </c>
      <c r="T110">
        <f>'Übersicht Score Index'!H111*Rezepte!AR111</f>
        <v>0</v>
      </c>
      <c r="U110">
        <f>'Übersicht Score Index'!I111*Rezepte!AP111</f>
        <v>0</v>
      </c>
      <c r="V110">
        <f>'Übersicht Score Index'!I111*Rezepte!AQ111</f>
        <v>0</v>
      </c>
      <c r="W110">
        <f>'Übersicht Score Index'!I111*Rezepte!AR111</f>
        <v>0</v>
      </c>
    </row>
    <row r="111" spans="1:23" x14ac:dyDescent="0.3">
      <c r="A111" s="2" t="s">
        <v>227</v>
      </c>
      <c r="B111" s="2" t="s">
        <v>228</v>
      </c>
      <c r="C111">
        <f>'Übersicht Score Index'!C112*Rezepte!AP112</f>
        <v>0</v>
      </c>
      <c r="D111">
        <f>'Übersicht Score Index'!C112*Rezepte!AQ112</f>
        <v>0</v>
      </c>
      <c r="E111">
        <f>'Übersicht Score Index'!C112*Rezepte!AR112</f>
        <v>0</v>
      </c>
      <c r="F111">
        <f>'Übersicht Score Index'!D112*Rezepte!AP112</f>
        <v>0</v>
      </c>
      <c r="G111">
        <f>'Übersicht Score Index'!D112*Rezepte!AQ112</f>
        <v>0</v>
      </c>
      <c r="H111">
        <f>'Übersicht Score Index'!D112*Rezepte!AR112</f>
        <v>0</v>
      </c>
      <c r="I111">
        <f>'Übersicht Score Index'!E112*Rezepte!AP112</f>
        <v>0</v>
      </c>
      <c r="J111">
        <f>'Übersicht Score Index'!E112*Rezepte!AQ112</f>
        <v>0</v>
      </c>
      <c r="K111">
        <f>'Übersicht Score Index'!E112*Rezepte!AR112</f>
        <v>0</v>
      </c>
      <c r="L111">
        <f>'Übersicht Score Index'!F112*Rezepte!AP112</f>
        <v>0</v>
      </c>
      <c r="M111">
        <f>'Übersicht Score Index'!F112*Rezepte!AQ112</f>
        <v>0</v>
      </c>
      <c r="N111">
        <f>'Übersicht Score Index'!F112*Rezepte!AR112</f>
        <v>0</v>
      </c>
      <c r="O111">
        <f>'Übersicht Score Index'!G112*Rezepte!AP112</f>
        <v>0</v>
      </c>
      <c r="P111">
        <f>'Übersicht Score Index'!G112*Rezepte!AQ112</f>
        <v>0</v>
      </c>
      <c r="Q111">
        <f>'Übersicht Score Index'!G112*Rezepte!AR112</f>
        <v>0</v>
      </c>
      <c r="R111">
        <f>'Übersicht Score Index'!H112*Rezepte!AP112</f>
        <v>0</v>
      </c>
      <c r="S111">
        <f>'Übersicht Score Index'!H112*Rezepte!AQ112</f>
        <v>0</v>
      </c>
      <c r="T111">
        <f>'Übersicht Score Index'!H112*Rezepte!AR112</f>
        <v>0</v>
      </c>
      <c r="U111">
        <f>'Übersicht Score Index'!I112*Rezepte!AP112</f>
        <v>0</v>
      </c>
      <c r="V111">
        <f>'Übersicht Score Index'!I112*Rezepte!AQ112</f>
        <v>0</v>
      </c>
      <c r="W111">
        <f>'Übersicht Score Index'!I112*Rezepte!AR112</f>
        <v>0</v>
      </c>
    </row>
    <row r="112" spans="1:23" x14ac:dyDescent="0.3">
      <c r="A112" s="2" t="s">
        <v>229</v>
      </c>
      <c r="B112" s="2" t="s">
        <v>230</v>
      </c>
      <c r="C112">
        <f>'Übersicht Score Index'!C113*Rezepte!AP113</f>
        <v>0</v>
      </c>
      <c r="D112">
        <f>'Übersicht Score Index'!C113*Rezepte!AQ113</f>
        <v>0</v>
      </c>
      <c r="E112">
        <f>'Übersicht Score Index'!C113*Rezepte!AR113</f>
        <v>0</v>
      </c>
      <c r="F112">
        <f>'Übersicht Score Index'!D113*Rezepte!AP113</f>
        <v>0</v>
      </c>
      <c r="G112">
        <f>'Übersicht Score Index'!D113*Rezepte!AQ113</f>
        <v>0</v>
      </c>
      <c r="H112">
        <f>'Übersicht Score Index'!D113*Rezepte!AR113</f>
        <v>0</v>
      </c>
      <c r="I112">
        <f>'Übersicht Score Index'!E113*Rezepte!AP113</f>
        <v>0</v>
      </c>
      <c r="J112">
        <f>'Übersicht Score Index'!E113*Rezepte!AQ113</f>
        <v>0</v>
      </c>
      <c r="K112">
        <f>'Übersicht Score Index'!E113*Rezepte!AR113</f>
        <v>0</v>
      </c>
      <c r="L112">
        <f>'Übersicht Score Index'!F113*Rezepte!AP113</f>
        <v>0</v>
      </c>
      <c r="M112">
        <f>'Übersicht Score Index'!F113*Rezepte!AQ113</f>
        <v>0</v>
      </c>
      <c r="N112">
        <f>'Übersicht Score Index'!F113*Rezepte!AR113</f>
        <v>0</v>
      </c>
      <c r="O112">
        <f>'Übersicht Score Index'!G113*Rezepte!AP113</f>
        <v>0</v>
      </c>
      <c r="P112">
        <f>'Übersicht Score Index'!G113*Rezepte!AQ113</f>
        <v>0</v>
      </c>
      <c r="Q112">
        <f>'Übersicht Score Index'!G113*Rezepte!AR113</f>
        <v>0</v>
      </c>
      <c r="R112">
        <f>'Übersicht Score Index'!H113*Rezepte!AP113</f>
        <v>0</v>
      </c>
      <c r="S112">
        <f>'Übersicht Score Index'!H113*Rezepte!AQ113</f>
        <v>0</v>
      </c>
      <c r="T112">
        <f>'Übersicht Score Index'!H113*Rezepte!AR113</f>
        <v>0</v>
      </c>
      <c r="U112">
        <f>'Übersicht Score Index'!I113*Rezepte!AP113</f>
        <v>0</v>
      </c>
      <c r="V112">
        <f>'Übersicht Score Index'!I113*Rezepte!AQ113</f>
        <v>0</v>
      </c>
      <c r="W112">
        <f>'Übersicht Score Index'!I113*Rezepte!AR113</f>
        <v>0</v>
      </c>
    </row>
    <row r="113" spans="1:23" x14ac:dyDescent="0.3">
      <c r="A113" s="2" t="s">
        <v>231</v>
      </c>
      <c r="B113" s="2" t="s">
        <v>232</v>
      </c>
      <c r="C113">
        <f>'Übersicht Score Index'!C114*Rezepte!AP114</f>
        <v>0</v>
      </c>
      <c r="D113">
        <f>'Übersicht Score Index'!C114*Rezepte!AQ114</f>
        <v>0</v>
      </c>
      <c r="E113">
        <f>'Übersicht Score Index'!C114*Rezepte!AR114</f>
        <v>0</v>
      </c>
      <c r="F113">
        <f>'Übersicht Score Index'!D114*Rezepte!AP114</f>
        <v>0.19278711842044682</v>
      </c>
      <c r="G113">
        <f>'Übersicht Score Index'!D114*Rezepte!AQ114</f>
        <v>9.6393559210223412E-2</v>
      </c>
      <c r="H113">
        <f>'Übersicht Score Index'!D114*Rezepte!AR114</f>
        <v>9.6393559210223412E-2</v>
      </c>
      <c r="I113">
        <f>'Übersicht Score Index'!E114*Rezepte!AP114</f>
        <v>0</v>
      </c>
      <c r="J113">
        <f>'Übersicht Score Index'!E114*Rezepte!AQ114</f>
        <v>0</v>
      </c>
      <c r="K113">
        <f>'Übersicht Score Index'!E114*Rezepte!AR114</f>
        <v>0</v>
      </c>
      <c r="L113">
        <f>'Übersicht Score Index'!F114*Rezepte!AP114</f>
        <v>0</v>
      </c>
      <c r="M113">
        <f>'Übersicht Score Index'!F114*Rezepte!AQ114</f>
        <v>0</v>
      </c>
      <c r="N113">
        <f>'Übersicht Score Index'!F114*Rezepte!AR114</f>
        <v>0</v>
      </c>
      <c r="O113">
        <f>'Übersicht Score Index'!G114*Rezepte!AP114</f>
        <v>0</v>
      </c>
      <c r="P113">
        <f>'Übersicht Score Index'!G114*Rezepte!AQ114</f>
        <v>0</v>
      </c>
      <c r="Q113">
        <f>'Übersicht Score Index'!G114*Rezepte!AR114</f>
        <v>0</v>
      </c>
      <c r="R113">
        <f>'Übersicht Score Index'!H114*Rezepte!AP114</f>
        <v>0</v>
      </c>
      <c r="S113">
        <f>'Übersicht Score Index'!H114*Rezepte!AQ114</f>
        <v>0</v>
      </c>
      <c r="T113">
        <f>'Übersicht Score Index'!H114*Rezepte!AR114</f>
        <v>0</v>
      </c>
      <c r="U113">
        <f>'Übersicht Score Index'!I114*Rezepte!AP114</f>
        <v>0</v>
      </c>
      <c r="V113">
        <f>'Übersicht Score Index'!I114*Rezepte!AQ114</f>
        <v>0</v>
      </c>
      <c r="W113">
        <f>'Übersicht Score Index'!I114*Rezepte!AR114</f>
        <v>0</v>
      </c>
    </row>
    <row r="114" spans="1:23" x14ac:dyDescent="0.3">
      <c r="A114" s="2" t="s">
        <v>233</v>
      </c>
      <c r="B114" s="2" t="s">
        <v>234</v>
      </c>
      <c r="C114">
        <f>'Übersicht Score Index'!C115*Rezepte!AP115</f>
        <v>0</v>
      </c>
      <c r="D114">
        <f>'Übersicht Score Index'!C115*Rezepte!AQ115</f>
        <v>0</v>
      </c>
      <c r="E114">
        <f>'Übersicht Score Index'!C115*Rezepte!AR115</f>
        <v>0</v>
      </c>
      <c r="F114">
        <f>'Übersicht Score Index'!D115*Rezepte!AP115</f>
        <v>0</v>
      </c>
      <c r="G114">
        <f>'Übersicht Score Index'!D115*Rezepte!AQ115</f>
        <v>0</v>
      </c>
      <c r="H114">
        <f>'Übersicht Score Index'!D115*Rezepte!AR115</f>
        <v>0</v>
      </c>
      <c r="I114">
        <f>'Übersicht Score Index'!E115*Rezepte!AP115</f>
        <v>0</v>
      </c>
      <c r="J114">
        <f>'Übersicht Score Index'!E115*Rezepte!AQ115</f>
        <v>0</v>
      </c>
      <c r="K114">
        <f>'Übersicht Score Index'!E115*Rezepte!AR115</f>
        <v>0</v>
      </c>
      <c r="L114">
        <f>'Übersicht Score Index'!F115*Rezepte!AP115</f>
        <v>0</v>
      </c>
      <c r="M114">
        <f>'Übersicht Score Index'!F115*Rezepte!AQ115</f>
        <v>0</v>
      </c>
      <c r="N114">
        <f>'Übersicht Score Index'!F115*Rezepte!AR115</f>
        <v>0</v>
      </c>
      <c r="O114">
        <f>'Übersicht Score Index'!G115*Rezepte!AP115</f>
        <v>0</v>
      </c>
      <c r="P114">
        <f>'Übersicht Score Index'!G115*Rezepte!AQ115</f>
        <v>0</v>
      </c>
      <c r="Q114">
        <f>'Übersicht Score Index'!G115*Rezepte!AR115</f>
        <v>0</v>
      </c>
      <c r="R114">
        <f>'Übersicht Score Index'!H115*Rezepte!AP115</f>
        <v>0</v>
      </c>
      <c r="S114">
        <f>'Übersicht Score Index'!H115*Rezepte!AQ115</f>
        <v>0</v>
      </c>
      <c r="T114">
        <f>'Übersicht Score Index'!H115*Rezepte!AR115</f>
        <v>0</v>
      </c>
      <c r="U114">
        <f>'Übersicht Score Index'!I115*Rezepte!AP115</f>
        <v>0</v>
      </c>
      <c r="V114">
        <f>'Übersicht Score Index'!I115*Rezepte!AQ115</f>
        <v>0</v>
      </c>
      <c r="W114">
        <f>'Übersicht Score Index'!I115*Rezepte!AR115</f>
        <v>0</v>
      </c>
    </row>
    <row r="115" spans="1:23" x14ac:dyDescent="0.3">
      <c r="A115" s="2" t="s">
        <v>235</v>
      </c>
      <c r="B115" s="2" t="s">
        <v>236</v>
      </c>
      <c r="C115">
        <f>'Übersicht Score Index'!C116*Rezepte!AP116</f>
        <v>0</v>
      </c>
      <c r="D115">
        <f>'Übersicht Score Index'!C116*Rezepte!AQ116</f>
        <v>0</v>
      </c>
      <c r="E115">
        <f>'Übersicht Score Index'!C116*Rezepte!AR116</f>
        <v>0</v>
      </c>
      <c r="F115">
        <f>'Übersicht Score Index'!D116*Rezepte!AP116</f>
        <v>0</v>
      </c>
      <c r="G115">
        <f>'Übersicht Score Index'!D116*Rezepte!AQ116</f>
        <v>0</v>
      </c>
      <c r="H115">
        <f>'Übersicht Score Index'!D116*Rezepte!AR116</f>
        <v>0</v>
      </c>
      <c r="I115">
        <f>'Übersicht Score Index'!E116*Rezepte!AP116</f>
        <v>0</v>
      </c>
      <c r="J115">
        <f>'Übersicht Score Index'!E116*Rezepte!AQ116</f>
        <v>0</v>
      </c>
      <c r="K115">
        <f>'Übersicht Score Index'!E116*Rezepte!AR116</f>
        <v>0</v>
      </c>
      <c r="L115">
        <f>'Übersicht Score Index'!F116*Rezepte!AP116</f>
        <v>0</v>
      </c>
      <c r="M115">
        <f>'Übersicht Score Index'!F116*Rezepte!AQ116</f>
        <v>0</v>
      </c>
      <c r="N115">
        <f>'Übersicht Score Index'!F116*Rezepte!AR116</f>
        <v>0</v>
      </c>
      <c r="O115">
        <f>'Übersicht Score Index'!G116*Rezepte!AP116</f>
        <v>0</v>
      </c>
      <c r="P115">
        <f>'Übersicht Score Index'!G116*Rezepte!AQ116</f>
        <v>0</v>
      </c>
      <c r="Q115">
        <f>'Übersicht Score Index'!G116*Rezepte!AR116</f>
        <v>0</v>
      </c>
      <c r="R115">
        <f>'Übersicht Score Index'!H116*Rezepte!AP116</f>
        <v>0</v>
      </c>
      <c r="S115">
        <f>'Übersicht Score Index'!H116*Rezepte!AQ116</f>
        <v>0</v>
      </c>
      <c r="T115">
        <f>'Übersicht Score Index'!H116*Rezepte!AR116</f>
        <v>0</v>
      </c>
      <c r="U115">
        <f>'Übersicht Score Index'!I116*Rezepte!AP116</f>
        <v>0</v>
      </c>
      <c r="V115">
        <f>'Übersicht Score Index'!I116*Rezepte!AQ116</f>
        <v>0</v>
      </c>
      <c r="W115">
        <f>'Übersicht Score Index'!I116*Rezepte!AR116</f>
        <v>0</v>
      </c>
    </row>
    <row r="116" spans="1:23" x14ac:dyDescent="0.3">
      <c r="A116" s="2" t="s">
        <v>237</v>
      </c>
      <c r="B116" s="2" t="s">
        <v>238</v>
      </c>
      <c r="C116">
        <f>'Übersicht Score Index'!C117*Rezepte!AP117</f>
        <v>0</v>
      </c>
      <c r="D116">
        <f>'Übersicht Score Index'!C117*Rezepte!AQ117</f>
        <v>0</v>
      </c>
      <c r="E116">
        <f>'Übersicht Score Index'!C117*Rezepte!AR117</f>
        <v>0</v>
      </c>
      <c r="F116">
        <f>'Übersicht Score Index'!D117*Rezepte!AP117</f>
        <v>0</v>
      </c>
      <c r="G116">
        <f>'Übersicht Score Index'!D117*Rezepte!AQ117</f>
        <v>0</v>
      </c>
      <c r="H116">
        <f>'Übersicht Score Index'!D117*Rezepte!AR117</f>
        <v>0</v>
      </c>
      <c r="I116">
        <f>'Übersicht Score Index'!E117*Rezepte!AP117</f>
        <v>0</v>
      </c>
      <c r="J116">
        <f>'Übersicht Score Index'!E117*Rezepte!AQ117</f>
        <v>0</v>
      </c>
      <c r="K116">
        <f>'Übersicht Score Index'!E117*Rezepte!AR117</f>
        <v>0</v>
      </c>
      <c r="L116">
        <f>'Übersicht Score Index'!F117*Rezepte!AP117</f>
        <v>0</v>
      </c>
      <c r="M116">
        <f>'Übersicht Score Index'!F117*Rezepte!AQ117</f>
        <v>0</v>
      </c>
      <c r="N116">
        <f>'Übersicht Score Index'!F117*Rezepte!AR117</f>
        <v>0</v>
      </c>
      <c r="O116">
        <f>'Übersicht Score Index'!G117*Rezepte!AP117</f>
        <v>0</v>
      </c>
      <c r="P116">
        <f>'Übersicht Score Index'!G117*Rezepte!AQ117</f>
        <v>0</v>
      </c>
      <c r="Q116">
        <f>'Übersicht Score Index'!G117*Rezepte!AR117</f>
        <v>0</v>
      </c>
      <c r="R116">
        <f>'Übersicht Score Index'!H117*Rezepte!AP117</f>
        <v>0</v>
      </c>
      <c r="S116">
        <f>'Übersicht Score Index'!H117*Rezepte!AQ117</f>
        <v>0</v>
      </c>
      <c r="T116">
        <f>'Übersicht Score Index'!H117*Rezepte!AR117</f>
        <v>0</v>
      </c>
      <c r="U116">
        <f>'Übersicht Score Index'!I117*Rezepte!AP117</f>
        <v>0</v>
      </c>
      <c r="V116">
        <f>'Übersicht Score Index'!I117*Rezepte!AQ117</f>
        <v>0</v>
      </c>
      <c r="W116">
        <f>'Übersicht Score Index'!I117*Rezepte!AR117</f>
        <v>0</v>
      </c>
    </row>
    <row r="117" spans="1:23" x14ac:dyDescent="0.3">
      <c r="A117" s="2" t="s">
        <v>239</v>
      </c>
      <c r="B117" s="2" t="s">
        <v>240</v>
      </c>
      <c r="C117">
        <f>'Übersicht Score Index'!C118*Rezepte!AP118</f>
        <v>0</v>
      </c>
      <c r="D117">
        <f>'Übersicht Score Index'!C118*Rezepte!AQ118</f>
        <v>0</v>
      </c>
      <c r="E117">
        <f>'Übersicht Score Index'!C118*Rezepte!AR118</f>
        <v>0</v>
      </c>
      <c r="F117">
        <f>'Übersicht Score Index'!D118*Rezepte!AP118</f>
        <v>0</v>
      </c>
      <c r="G117">
        <f>'Übersicht Score Index'!D118*Rezepte!AQ118</f>
        <v>0</v>
      </c>
      <c r="H117">
        <f>'Übersicht Score Index'!D118*Rezepte!AR118</f>
        <v>0</v>
      </c>
      <c r="I117">
        <f>'Übersicht Score Index'!E118*Rezepte!AP118</f>
        <v>0</v>
      </c>
      <c r="J117">
        <f>'Übersicht Score Index'!E118*Rezepte!AQ118</f>
        <v>0</v>
      </c>
      <c r="K117">
        <f>'Übersicht Score Index'!E118*Rezepte!AR118</f>
        <v>0</v>
      </c>
      <c r="L117">
        <f>'Übersicht Score Index'!F118*Rezepte!AP118</f>
        <v>0</v>
      </c>
      <c r="M117">
        <f>'Übersicht Score Index'!F118*Rezepte!AQ118</f>
        <v>0</v>
      </c>
      <c r="N117">
        <f>'Übersicht Score Index'!F118*Rezepte!AR118</f>
        <v>0</v>
      </c>
      <c r="O117">
        <f>'Übersicht Score Index'!G118*Rezepte!AP118</f>
        <v>0</v>
      </c>
      <c r="P117">
        <f>'Übersicht Score Index'!G118*Rezepte!AQ118</f>
        <v>0</v>
      </c>
      <c r="Q117">
        <f>'Übersicht Score Index'!G118*Rezepte!AR118</f>
        <v>0</v>
      </c>
      <c r="R117">
        <f>'Übersicht Score Index'!H118*Rezepte!AP118</f>
        <v>0</v>
      </c>
      <c r="S117">
        <f>'Übersicht Score Index'!H118*Rezepte!AQ118</f>
        <v>0</v>
      </c>
      <c r="T117">
        <f>'Übersicht Score Index'!H118*Rezepte!AR118</f>
        <v>0</v>
      </c>
      <c r="U117">
        <f>'Übersicht Score Index'!I118*Rezepte!AP118</f>
        <v>0</v>
      </c>
      <c r="V117">
        <f>'Übersicht Score Index'!I118*Rezepte!AQ118</f>
        <v>0</v>
      </c>
      <c r="W117">
        <f>'Übersicht Score Index'!I118*Rezepte!AR118</f>
        <v>0</v>
      </c>
    </row>
    <row r="118" spans="1:23" x14ac:dyDescent="0.3">
      <c r="A118" s="2" t="s">
        <v>241</v>
      </c>
      <c r="B118" s="2" t="s">
        <v>242</v>
      </c>
      <c r="C118">
        <f>'Übersicht Score Index'!C119*Rezepte!AP119</f>
        <v>0</v>
      </c>
      <c r="D118">
        <f>'Übersicht Score Index'!C119*Rezepte!AQ119</f>
        <v>0</v>
      </c>
      <c r="E118">
        <f>'Übersicht Score Index'!C119*Rezepte!AR119</f>
        <v>0</v>
      </c>
      <c r="F118">
        <f>'Übersicht Score Index'!D119*Rezepte!AP119</f>
        <v>0</v>
      </c>
      <c r="G118">
        <f>'Übersicht Score Index'!D119*Rezepte!AQ119</f>
        <v>0</v>
      </c>
      <c r="H118">
        <f>'Übersicht Score Index'!D119*Rezepte!AR119</f>
        <v>0</v>
      </c>
      <c r="I118">
        <f>'Übersicht Score Index'!E119*Rezepte!AP119</f>
        <v>0</v>
      </c>
      <c r="J118">
        <f>'Übersicht Score Index'!E119*Rezepte!AQ119</f>
        <v>0</v>
      </c>
      <c r="K118">
        <f>'Übersicht Score Index'!E119*Rezepte!AR119</f>
        <v>0</v>
      </c>
      <c r="L118">
        <f>'Übersicht Score Index'!F119*Rezepte!AP119</f>
        <v>0</v>
      </c>
      <c r="M118">
        <f>'Übersicht Score Index'!F119*Rezepte!AQ119</f>
        <v>0</v>
      </c>
      <c r="N118">
        <f>'Übersicht Score Index'!F119*Rezepte!AR119</f>
        <v>0</v>
      </c>
      <c r="O118">
        <f>'Übersicht Score Index'!G119*Rezepte!AP119</f>
        <v>0</v>
      </c>
      <c r="P118">
        <f>'Übersicht Score Index'!G119*Rezepte!AQ119</f>
        <v>0</v>
      </c>
      <c r="Q118">
        <f>'Übersicht Score Index'!G119*Rezepte!AR119</f>
        <v>0</v>
      </c>
      <c r="R118">
        <f>'Übersicht Score Index'!H119*Rezepte!AP119</f>
        <v>0</v>
      </c>
      <c r="S118">
        <f>'Übersicht Score Index'!H119*Rezepte!AQ119</f>
        <v>0</v>
      </c>
      <c r="T118">
        <f>'Übersicht Score Index'!H119*Rezepte!AR119</f>
        <v>0</v>
      </c>
      <c r="U118">
        <f>'Übersicht Score Index'!I119*Rezepte!AP119</f>
        <v>0</v>
      </c>
      <c r="V118">
        <f>'Übersicht Score Index'!I119*Rezepte!AQ119</f>
        <v>0</v>
      </c>
      <c r="W118">
        <f>'Übersicht Score Index'!I119*Rezepte!AR119</f>
        <v>0</v>
      </c>
    </row>
    <row r="119" spans="1:23" x14ac:dyDescent="0.3">
      <c r="A119" s="2" t="s">
        <v>243</v>
      </c>
      <c r="B119" s="2" t="s">
        <v>244</v>
      </c>
      <c r="C119">
        <f>'Übersicht Score Index'!C120*Rezepte!AP120</f>
        <v>0</v>
      </c>
      <c r="D119">
        <f>'Übersicht Score Index'!C120*Rezepte!AQ120</f>
        <v>0</v>
      </c>
      <c r="E119">
        <f>'Übersicht Score Index'!C120*Rezepte!AR120</f>
        <v>0</v>
      </c>
      <c r="F119">
        <f>'Übersicht Score Index'!D120*Rezepte!AP120</f>
        <v>0</v>
      </c>
      <c r="G119">
        <f>'Übersicht Score Index'!D120*Rezepte!AQ120</f>
        <v>0</v>
      </c>
      <c r="H119">
        <f>'Übersicht Score Index'!D120*Rezepte!AR120</f>
        <v>0</v>
      </c>
      <c r="I119">
        <f>'Übersicht Score Index'!E120*Rezepte!AP120</f>
        <v>0</v>
      </c>
      <c r="J119">
        <f>'Übersicht Score Index'!E120*Rezepte!AQ120</f>
        <v>0</v>
      </c>
      <c r="K119">
        <f>'Übersicht Score Index'!E120*Rezepte!AR120</f>
        <v>0</v>
      </c>
      <c r="L119">
        <f>'Übersicht Score Index'!F120*Rezepte!AP120</f>
        <v>0</v>
      </c>
      <c r="M119">
        <f>'Übersicht Score Index'!F120*Rezepte!AQ120</f>
        <v>0</v>
      </c>
      <c r="N119">
        <f>'Übersicht Score Index'!F120*Rezepte!AR120</f>
        <v>0</v>
      </c>
      <c r="O119">
        <f>'Übersicht Score Index'!G120*Rezepte!AP120</f>
        <v>0</v>
      </c>
      <c r="P119">
        <f>'Übersicht Score Index'!G120*Rezepte!AQ120</f>
        <v>0</v>
      </c>
      <c r="Q119">
        <f>'Übersicht Score Index'!G120*Rezepte!AR120</f>
        <v>0</v>
      </c>
      <c r="R119">
        <f>'Übersicht Score Index'!H120*Rezepte!AP120</f>
        <v>0</v>
      </c>
      <c r="S119">
        <f>'Übersicht Score Index'!H120*Rezepte!AQ120</f>
        <v>0</v>
      </c>
      <c r="T119">
        <f>'Übersicht Score Index'!H120*Rezepte!AR120</f>
        <v>0</v>
      </c>
      <c r="U119">
        <f>'Übersicht Score Index'!I120*Rezepte!AP120</f>
        <v>0</v>
      </c>
      <c r="V119">
        <f>'Übersicht Score Index'!I120*Rezepte!AQ120</f>
        <v>0</v>
      </c>
      <c r="W119">
        <f>'Übersicht Score Index'!I120*Rezepte!AR120</f>
        <v>0</v>
      </c>
    </row>
    <row r="120" spans="1:23" x14ac:dyDescent="0.3">
      <c r="A120" s="2" t="s">
        <v>245</v>
      </c>
      <c r="B120" s="2" t="s">
        <v>246</v>
      </c>
      <c r="C120">
        <f>'Übersicht Score Index'!C121*Rezepte!AP121</f>
        <v>0</v>
      </c>
      <c r="D120">
        <f>'Übersicht Score Index'!C121*Rezepte!AQ121</f>
        <v>0</v>
      </c>
      <c r="E120">
        <f>'Übersicht Score Index'!C121*Rezepte!AR121</f>
        <v>0</v>
      </c>
      <c r="F120">
        <f>'Übersicht Score Index'!D121*Rezepte!AP121</f>
        <v>0</v>
      </c>
      <c r="G120">
        <f>'Übersicht Score Index'!D121*Rezepte!AQ121</f>
        <v>0</v>
      </c>
      <c r="H120">
        <f>'Übersicht Score Index'!D121*Rezepte!AR121</f>
        <v>0</v>
      </c>
      <c r="I120">
        <f>'Übersicht Score Index'!E121*Rezepte!AP121</f>
        <v>0</v>
      </c>
      <c r="J120">
        <f>'Übersicht Score Index'!E121*Rezepte!AQ121</f>
        <v>0</v>
      </c>
      <c r="K120">
        <f>'Übersicht Score Index'!E121*Rezepte!AR121</f>
        <v>0</v>
      </c>
      <c r="L120">
        <f>'Übersicht Score Index'!F121*Rezepte!AP121</f>
        <v>0</v>
      </c>
      <c r="M120">
        <f>'Übersicht Score Index'!F121*Rezepte!AQ121</f>
        <v>0</v>
      </c>
      <c r="N120">
        <f>'Übersicht Score Index'!F121*Rezepte!AR121</f>
        <v>0</v>
      </c>
      <c r="O120">
        <f>'Übersicht Score Index'!G121*Rezepte!AP121</f>
        <v>0</v>
      </c>
      <c r="P120">
        <f>'Übersicht Score Index'!G121*Rezepte!AQ121</f>
        <v>0</v>
      </c>
      <c r="Q120">
        <f>'Übersicht Score Index'!G121*Rezepte!AR121</f>
        <v>0</v>
      </c>
      <c r="R120">
        <f>'Übersicht Score Index'!H121*Rezepte!AP121</f>
        <v>0</v>
      </c>
      <c r="S120">
        <f>'Übersicht Score Index'!H121*Rezepte!AQ121</f>
        <v>0</v>
      </c>
      <c r="T120">
        <f>'Übersicht Score Index'!H121*Rezepte!AR121</f>
        <v>0</v>
      </c>
      <c r="U120">
        <f>'Übersicht Score Index'!I121*Rezepte!AP121</f>
        <v>0</v>
      </c>
      <c r="V120">
        <f>'Übersicht Score Index'!I121*Rezepte!AQ121</f>
        <v>0</v>
      </c>
      <c r="W120">
        <f>'Übersicht Score Index'!I121*Rezepte!AR121</f>
        <v>0</v>
      </c>
    </row>
    <row r="121" spans="1:23" x14ac:dyDescent="0.3">
      <c r="A121" s="2" t="s">
        <v>247</v>
      </c>
      <c r="B121" s="2" t="s">
        <v>248</v>
      </c>
      <c r="C121">
        <f>'Übersicht Score Index'!C122*Rezepte!AP122</f>
        <v>0</v>
      </c>
      <c r="D121">
        <f>'Übersicht Score Index'!C122*Rezepte!AQ122</f>
        <v>0</v>
      </c>
      <c r="E121">
        <f>'Übersicht Score Index'!C122*Rezepte!AR122</f>
        <v>0</v>
      </c>
      <c r="F121">
        <f>'Übersicht Score Index'!D122*Rezepte!AP122</f>
        <v>0</v>
      </c>
      <c r="G121">
        <f>'Übersicht Score Index'!D122*Rezepte!AQ122</f>
        <v>0</v>
      </c>
      <c r="H121">
        <f>'Übersicht Score Index'!D122*Rezepte!AR122</f>
        <v>0</v>
      </c>
      <c r="I121">
        <f>'Übersicht Score Index'!E122*Rezepte!AP122</f>
        <v>0</v>
      </c>
      <c r="J121">
        <f>'Übersicht Score Index'!E122*Rezepte!AQ122</f>
        <v>0</v>
      </c>
      <c r="K121">
        <f>'Übersicht Score Index'!E122*Rezepte!AR122</f>
        <v>0</v>
      </c>
      <c r="L121">
        <f>'Übersicht Score Index'!F122*Rezepte!AP122</f>
        <v>0</v>
      </c>
      <c r="M121">
        <f>'Übersicht Score Index'!F122*Rezepte!AQ122</f>
        <v>0</v>
      </c>
      <c r="N121">
        <f>'Übersicht Score Index'!F122*Rezepte!AR122</f>
        <v>0</v>
      </c>
      <c r="O121">
        <f>'Übersicht Score Index'!G122*Rezepte!AP122</f>
        <v>0</v>
      </c>
      <c r="P121">
        <f>'Übersicht Score Index'!G122*Rezepte!AQ122</f>
        <v>0</v>
      </c>
      <c r="Q121">
        <f>'Übersicht Score Index'!G122*Rezepte!AR122</f>
        <v>0</v>
      </c>
      <c r="R121">
        <f>'Übersicht Score Index'!H122*Rezepte!AP122</f>
        <v>0</v>
      </c>
      <c r="S121">
        <f>'Übersicht Score Index'!H122*Rezepte!AQ122</f>
        <v>0</v>
      </c>
      <c r="T121">
        <f>'Übersicht Score Index'!H122*Rezepte!AR122</f>
        <v>0</v>
      </c>
      <c r="U121">
        <f>'Übersicht Score Index'!I122*Rezepte!AP122</f>
        <v>0</v>
      </c>
      <c r="V121">
        <f>'Übersicht Score Index'!I122*Rezepte!AQ122</f>
        <v>0</v>
      </c>
      <c r="W121">
        <f>'Übersicht Score Index'!I122*Rezepte!AR122</f>
        <v>0</v>
      </c>
    </row>
    <row r="122" spans="1:23" x14ac:dyDescent="0.3">
      <c r="A122" s="2" t="s">
        <v>249</v>
      </c>
      <c r="B122" s="2" t="s">
        <v>250</v>
      </c>
      <c r="C122">
        <f>'Übersicht Score Index'!C123*Rezepte!AP123</f>
        <v>0</v>
      </c>
      <c r="D122">
        <f>'Übersicht Score Index'!C123*Rezepte!AQ123</f>
        <v>0</v>
      </c>
      <c r="E122">
        <f>'Übersicht Score Index'!C123*Rezepte!AR123</f>
        <v>0</v>
      </c>
      <c r="F122">
        <f>'Übersicht Score Index'!D123*Rezepte!AP123</f>
        <v>0</v>
      </c>
      <c r="G122">
        <f>'Übersicht Score Index'!D123*Rezepte!AQ123</f>
        <v>0</v>
      </c>
      <c r="H122">
        <f>'Übersicht Score Index'!D123*Rezepte!AR123</f>
        <v>0</v>
      </c>
      <c r="I122">
        <f>'Übersicht Score Index'!E123*Rezepte!AP123</f>
        <v>3.4772727272727273E-3</v>
      </c>
      <c r="J122">
        <f>'Übersicht Score Index'!E123*Rezepte!AQ123</f>
        <v>1.7386363636363636E-3</v>
      </c>
      <c r="K122">
        <f>'Übersicht Score Index'!E123*Rezepte!AR123</f>
        <v>1.7386363636363636E-3</v>
      </c>
      <c r="L122">
        <f>'Übersicht Score Index'!F123*Rezepte!AP123</f>
        <v>0</v>
      </c>
      <c r="M122">
        <f>'Übersicht Score Index'!F123*Rezepte!AQ123</f>
        <v>0</v>
      </c>
      <c r="N122">
        <f>'Übersicht Score Index'!F123*Rezepte!AR123</f>
        <v>0</v>
      </c>
      <c r="O122">
        <f>'Übersicht Score Index'!G123*Rezepte!AP123</f>
        <v>0</v>
      </c>
      <c r="P122">
        <f>'Übersicht Score Index'!G123*Rezepte!AQ123</f>
        <v>0</v>
      </c>
      <c r="Q122">
        <f>'Übersicht Score Index'!G123*Rezepte!AR123</f>
        <v>0</v>
      </c>
      <c r="R122">
        <f>'Übersicht Score Index'!H123*Rezepte!AP123</f>
        <v>0</v>
      </c>
      <c r="S122">
        <f>'Übersicht Score Index'!H123*Rezepte!AQ123</f>
        <v>0</v>
      </c>
      <c r="T122">
        <f>'Übersicht Score Index'!H123*Rezepte!AR123</f>
        <v>0</v>
      </c>
      <c r="U122">
        <f>'Übersicht Score Index'!I123*Rezepte!AP123</f>
        <v>0</v>
      </c>
      <c r="V122">
        <f>'Übersicht Score Index'!I123*Rezepte!AQ123</f>
        <v>0</v>
      </c>
      <c r="W122">
        <f>'Übersicht Score Index'!I123*Rezepte!AR123</f>
        <v>0</v>
      </c>
    </row>
    <row r="123" spans="1:23" x14ac:dyDescent="0.3">
      <c r="A123" s="2" t="s">
        <v>251</v>
      </c>
      <c r="B123" s="2" t="s">
        <v>252</v>
      </c>
      <c r="C123">
        <f>'Übersicht Score Index'!C124*Rezepte!AP124</f>
        <v>0</v>
      </c>
      <c r="D123">
        <f>'Übersicht Score Index'!C124*Rezepte!AQ124</f>
        <v>0</v>
      </c>
      <c r="E123">
        <f>'Übersicht Score Index'!C124*Rezepte!AR124</f>
        <v>0</v>
      </c>
      <c r="F123">
        <f>'Übersicht Score Index'!D124*Rezepte!AP124</f>
        <v>0</v>
      </c>
      <c r="G123">
        <f>'Übersicht Score Index'!D124*Rezepte!AQ124</f>
        <v>0</v>
      </c>
      <c r="H123">
        <f>'Übersicht Score Index'!D124*Rezepte!AR124</f>
        <v>0</v>
      </c>
      <c r="I123">
        <f>'Übersicht Score Index'!E124*Rezepte!AP124</f>
        <v>0</v>
      </c>
      <c r="J123">
        <f>'Übersicht Score Index'!E124*Rezepte!AQ124</f>
        <v>0</v>
      </c>
      <c r="K123">
        <f>'Übersicht Score Index'!E124*Rezepte!AR124</f>
        <v>0</v>
      </c>
      <c r="L123">
        <f>'Übersicht Score Index'!F124*Rezepte!AP124</f>
        <v>0</v>
      </c>
      <c r="M123">
        <f>'Übersicht Score Index'!F124*Rezepte!AQ124</f>
        <v>0</v>
      </c>
      <c r="N123">
        <f>'Übersicht Score Index'!F124*Rezepte!AR124</f>
        <v>0</v>
      </c>
      <c r="O123">
        <f>'Übersicht Score Index'!G124*Rezepte!AP124</f>
        <v>0</v>
      </c>
      <c r="P123">
        <f>'Übersicht Score Index'!G124*Rezepte!AQ124</f>
        <v>0</v>
      </c>
      <c r="Q123">
        <f>'Übersicht Score Index'!G124*Rezepte!AR124</f>
        <v>0</v>
      </c>
      <c r="R123">
        <f>'Übersicht Score Index'!H124*Rezepte!AP124</f>
        <v>0</v>
      </c>
      <c r="S123">
        <f>'Übersicht Score Index'!H124*Rezepte!AQ124</f>
        <v>0</v>
      </c>
      <c r="T123">
        <f>'Übersicht Score Index'!H124*Rezepte!AR124</f>
        <v>0</v>
      </c>
      <c r="U123">
        <f>'Übersicht Score Index'!I124*Rezepte!AP124</f>
        <v>0</v>
      </c>
      <c r="V123">
        <f>'Übersicht Score Index'!I124*Rezepte!AQ124</f>
        <v>0</v>
      </c>
      <c r="W123">
        <f>'Übersicht Score Index'!I124*Rezepte!AR124</f>
        <v>0</v>
      </c>
    </row>
    <row r="124" spans="1:23" x14ac:dyDescent="0.3">
      <c r="B124" s="2" t="s">
        <v>253</v>
      </c>
      <c r="C124">
        <f>'Übersicht Score Index'!C125*Rezepte!AP125</f>
        <v>0.17045355315321609</v>
      </c>
      <c r="D124">
        <f>'Übersicht Score Index'!C125*Rezepte!AQ125</f>
        <v>8.5226776576608043E-2</v>
      </c>
      <c r="E124">
        <f>'Übersicht Score Index'!C125*Rezepte!AR125</f>
        <v>8.5226776576608043E-2</v>
      </c>
      <c r="F124">
        <f>'Übersicht Score Index'!D125*Rezepte!AP125</f>
        <v>0</v>
      </c>
      <c r="G124">
        <f>'Übersicht Score Index'!D125*Rezepte!AQ125</f>
        <v>0</v>
      </c>
      <c r="H124">
        <f>'Übersicht Score Index'!D125*Rezepte!AR125</f>
        <v>0</v>
      </c>
      <c r="I124">
        <f>'Übersicht Score Index'!E125*Rezepte!AP125</f>
        <v>0</v>
      </c>
      <c r="J124">
        <f>'Übersicht Score Index'!E125*Rezepte!AQ125</f>
        <v>0</v>
      </c>
      <c r="K124">
        <f>'Übersicht Score Index'!E125*Rezepte!AR125</f>
        <v>0</v>
      </c>
      <c r="L124">
        <f>'Übersicht Score Index'!F125*Rezepte!AP125</f>
        <v>0</v>
      </c>
      <c r="M124">
        <f>'Übersicht Score Index'!F125*Rezepte!AQ125</f>
        <v>0</v>
      </c>
      <c r="N124">
        <f>'Übersicht Score Index'!F125*Rezepte!AR125</f>
        <v>0</v>
      </c>
      <c r="O124">
        <f>'Übersicht Score Index'!G125*Rezepte!AP125</f>
        <v>0</v>
      </c>
      <c r="P124">
        <f>'Übersicht Score Index'!G125*Rezepte!AQ125</f>
        <v>0</v>
      </c>
      <c r="Q124">
        <f>'Übersicht Score Index'!G125*Rezepte!AR125</f>
        <v>0</v>
      </c>
      <c r="R124">
        <f>'Übersicht Score Index'!H125*Rezepte!AP125</f>
        <v>0</v>
      </c>
      <c r="S124">
        <f>'Übersicht Score Index'!H125*Rezepte!AQ125</f>
        <v>0</v>
      </c>
      <c r="T124">
        <f>'Übersicht Score Index'!H125*Rezepte!AR125</f>
        <v>0</v>
      </c>
      <c r="U124">
        <f>'Übersicht Score Index'!I125*Rezepte!AP125</f>
        <v>0</v>
      </c>
      <c r="V124">
        <f>'Übersicht Score Index'!I125*Rezepte!AQ125</f>
        <v>0</v>
      </c>
      <c r="W124">
        <f>'Übersicht Score Index'!I125*Rezepte!AR125</f>
        <v>0</v>
      </c>
    </row>
    <row r="125" spans="1:23" x14ac:dyDescent="0.3">
      <c r="A125" s="2" t="s">
        <v>254</v>
      </c>
      <c r="B125" s="2" t="s">
        <v>255</v>
      </c>
      <c r="C125">
        <f>'Übersicht Score Index'!C126*Rezepte!AP126</f>
        <v>0.53374999999999995</v>
      </c>
      <c r="D125">
        <f>'Übersicht Score Index'!C126*Rezepte!AQ126</f>
        <v>0.26687499999999997</v>
      </c>
      <c r="E125">
        <f>'Übersicht Score Index'!C126*Rezepte!AR126</f>
        <v>0.26687499999999997</v>
      </c>
      <c r="F125">
        <f>'Übersicht Score Index'!D126*Rezepte!AP126</f>
        <v>0</v>
      </c>
      <c r="G125">
        <f>'Übersicht Score Index'!D126*Rezepte!AQ126</f>
        <v>0</v>
      </c>
      <c r="H125">
        <f>'Übersicht Score Index'!D126*Rezepte!AR126</f>
        <v>0</v>
      </c>
      <c r="I125">
        <f>'Übersicht Score Index'!E126*Rezepte!AP126</f>
        <v>0</v>
      </c>
      <c r="J125">
        <f>'Übersicht Score Index'!E126*Rezepte!AQ126</f>
        <v>0</v>
      </c>
      <c r="K125">
        <f>'Übersicht Score Index'!E126*Rezepte!AR126</f>
        <v>0</v>
      </c>
      <c r="L125">
        <f>'Übersicht Score Index'!F126*Rezepte!AP126</f>
        <v>0</v>
      </c>
      <c r="M125">
        <f>'Übersicht Score Index'!F126*Rezepte!AQ126</f>
        <v>0</v>
      </c>
      <c r="N125">
        <f>'Übersicht Score Index'!F126*Rezepte!AR126</f>
        <v>0</v>
      </c>
      <c r="O125">
        <f>'Übersicht Score Index'!G126*Rezepte!AP126</f>
        <v>0</v>
      </c>
      <c r="P125">
        <f>'Übersicht Score Index'!G126*Rezepte!AQ126</f>
        <v>0</v>
      </c>
      <c r="Q125">
        <f>'Übersicht Score Index'!G126*Rezepte!AR126</f>
        <v>0</v>
      </c>
      <c r="R125">
        <f>'Übersicht Score Index'!H126*Rezepte!AP126</f>
        <v>0</v>
      </c>
      <c r="S125">
        <f>'Übersicht Score Index'!H126*Rezepte!AQ126</f>
        <v>0</v>
      </c>
      <c r="T125">
        <f>'Übersicht Score Index'!H126*Rezepte!AR126</f>
        <v>0</v>
      </c>
      <c r="U125">
        <f>'Übersicht Score Index'!I126*Rezepte!AP126</f>
        <v>0</v>
      </c>
      <c r="V125">
        <f>'Übersicht Score Index'!I126*Rezepte!AQ126</f>
        <v>0</v>
      </c>
      <c r="W125">
        <f>'Übersicht Score Index'!I126*Rezepte!AR126</f>
        <v>0</v>
      </c>
    </row>
    <row r="126" spans="1:23" x14ac:dyDescent="0.3">
      <c r="A126" s="2" t="s">
        <v>256</v>
      </c>
      <c r="B126" s="2" t="s">
        <v>257</v>
      </c>
      <c r="C126">
        <f>'Übersicht Score Index'!C127*Rezepte!AP127</f>
        <v>0</v>
      </c>
      <c r="D126">
        <f>'Übersicht Score Index'!C127*Rezepte!AQ127</f>
        <v>0</v>
      </c>
      <c r="E126">
        <f>'Übersicht Score Index'!C127*Rezepte!AR127</f>
        <v>0</v>
      </c>
      <c r="F126">
        <f>'Übersicht Score Index'!D127*Rezepte!AP127</f>
        <v>0</v>
      </c>
      <c r="G126">
        <f>'Übersicht Score Index'!D127*Rezepte!AQ127</f>
        <v>0</v>
      </c>
      <c r="H126">
        <f>'Übersicht Score Index'!D127*Rezepte!AR127</f>
        <v>0</v>
      </c>
      <c r="I126">
        <f>'Übersicht Score Index'!E127*Rezepte!AP127</f>
        <v>0</v>
      </c>
      <c r="J126">
        <f>'Übersicht Score Index'!E127*Rezepte!AQ127</f>
        <v>0</v>
      </c>
      <c r="K126">
        <f>'Übersicht Score Index'!E127*Rezepte!AR127</f>
        <v>0</v>
      </c>
      <c r="L126">
        <f>'Übersicht Score Index'!F127*Rezepte!AP127</f>
        <v>0</v>
      </c>
      <c r="M126">
        <f>'Übersicht Score Index'!F127*Rezepte!AQ127</f>
        <v>0</v>
      </c>
      <c r="N126">
        <f>'Übersicht Score Index'!F127*Rezepte!AR127</f>
        <v>0</v>
      </c>
      <c r="O126">
        <f>'Übersicht Score Index'!G127*Rezepte!AP127</f>
        <v>0</v>
      </c>
      <c r="P126">
        <f>'Übersicht Score Index'!G127*Rezepte!AQ127</f>
        <v>0</v>
      </c>
      <c r="Q126">
        <f>'Übersicht Score Index'!G127*Rezepte!AR127</f>
        <v>0</v>
      </c>
      <c r="R126">
        <f>'Übersicht Score Index'!H127*Rezepte!AP127</f>
        <v>0</v>
      </c>
      <c r="S126">
        <f>'Übersicht Score Index'!H127*Rezepte!AQ127</f>
        <v>0</v>
      </c>
      <c r="T126">
        <f>'Übersicht Score Index'!H127*Rezepte!AR127</f>
        <v>0</v>
      </c>
      <c r="U126">
        <f>'Übersicht Score Index'!I127*Rezepte!AP127</f>
        <v>0</v>
      </c>
      <c r="V126">
        <f>'Übersicht Score Index'!I127*Rezepte!AQ127</f>
        <v>0</v>
      </c>
      <c r="W126">
        <f>'Übersicht Score Index'!I127*Rezepte!AR127</f>
        <v>0</v>
      </c>
    </row>
    <row r="127" spans="1:23" x14ac:dyDescent="0.3">
      <c r="A127" s="2" t="s">
        <v>258</v>
      </c>
      <c r="B127" s="2" t="s">
        <v>259</v>
      </c>
      <c r="C127">
        <f>'Übersicht Score Index'!C128*Rezepte!AP128</f>
        <v>0</v>
      </c>
      <c r="D127">
        <f>'Übersicht Score Index'!C128*Rezepte!AQ128</f>
        <v>0</v>
      </c>
      <c r="E127">
        <f>'Übersicht Score Index'!C128*Rezepte!AR128</f>
        <v>0</v>
      </c>
      <c r="F127">
        <f>'Übersicht Score Index'!D128*Rezepte!AP128</f>
        <v>0</v>
      </c>
      <c r="G127">
        <f>'Übersicht Score Index'!D128*Rezepte!AQ128</f>
        <v>0</v>
      </c>
      <c r="H127">
        <f>'Übersicht Score Index'!D128*Rezepte!AR128</f>
        <v>0</v>
      </c>
      <c r="I127">
        <f>'Übersicht Score Index'!E128*Rezepte!AP128</f>
        <v>0</v>
      </c>
      <c r="J127">
        <f>'Übersicht Score Index'!E128*Rezepte!AQ128</f>
        <v>0</v>
      </c>
      <c r="K127">
        <f>'Übersicht Score Index'!E128*Rezepte!AR128</f>
        <v>0</v>
      </c>
      <c r="L127">
        <f>'Übersicht Score Index'!F128*Rezepte!AP128</f>
        <v>0</v>
      </c>
      <c r="M127">
        <f>'Übersicht Score Index'!F128*Rezepte!AQ128</f>
        <v>0</v>
      </c>
      <c r="N127">
        <f>'Übersicht Score Index'!F128*Rezepte!AR128</f>
        <v>0</v>
      </c>
      <c r="O127">
        <f>'Übersicht Score Index'!G128*Rezepte!AP128</f>
        <v>0</v>
      </c>
      <c r="P127">
        <f>'Übersicht Score Index'!G128*Rezepte!AQ128</f>
        <v>0</v>
      </c>
      <c r="Q127">
        <f>'Übersicht Score Index'!G128*Rezepte!AR128</f>
        <v>0</v>
      </c>
      <c r="R127">
        <f>'Übersicht Score Index'!H128*Rezepte!AP128</f>
        <v>0</v>
      </c>
      <c r="S127">
        <f>'Übersicht Score Index'!H128*Rezepte!AQ128</f>
        <v>0</v>
      </c>
      <c r="T127">
        <f>'Übersicht Score Index'!H128*Rezepte!AR128</f>
        <v>0</v>
      </c>
      <c r="U127">
        <f>'Übersicht Score Index'!I128*Rezepte!AP128</f>
        <v>0</v>
      </c>
      <c r="V127">
        <f>'Übersicht Score Index'!I128*Rezepte!AQ128</f>
        <v>0</v>
      </c>
      <c r="W127">
        <f>'Übersicht Score Index'!I128*Rezepte!AR128</f>
        <v>0</v>
      </c>
    </row>
    <row r="128" spans="1:23" x14ac:dyDescent="0.3">
      <c r="A128" s="2" t="s">
        <v>260</v>
      </c>
      <c r="B128" s="2" t="s">
        <v>261</v>
      </c>
      <c r="C128">
        <f>'Übersicht Score Index'!C129*Rezepte!AP129</f>
        <v>0</v>
      </c>
      <c r="D128">
        <f>'Übersicht Score Index'!C129*Rezepte!AQ129</f>
        <v>0</v>
      </c>
      <c r="E128">
        <f>'Übersicht Score Index'!C129*Rezepte!AR129</f>
        <v>0</v>
      </c>
      <c r="F128">
        <f>'Übersicht Score Index'!D129*Rezepte!AP129</f>
        <v>0</v>
      </c>
      <c r="G128">
        <f>'Übersicht Score Index'!D129*Rezepte!AQ129</f>
        <v>0</v>
      </c>
      <c r="H128">
        <f>'Übersicht Score Index'!D129*Rezepte!AR129</f>
        <v>0</v>
      </c>
      <c r="I128">
        <f>'Übersicht Score Index'!E129*Rezepte!AP129</f>
        <v>0</v>
      </c>
      <c r="J128">
        <f>'Übersicht Score Index'!E129*Rezepte!AQ129</f>
        <v>0</v>
      </c>
      <c r="K128">
        <f>'Übersicht Score Index'!E129*Rezepte!AR129</f>
        <v>0</v>
      </c>
      <c r="L128">
        <f>'Übersicht Score Index'!F129*Rezepte!AP129</f>
        <v>0</v>
      </c>
      <c r="M128">
        <f>'Übersicht Score Index'!F129*Rezepte!AQ129</f>
        <v>0</v>
      </c>
      <c r="N128">
        <f>'Übersicht Score Index'!F129*Rezepte!AR129</f>
        <v>0</v>
      </c>
      <c r="O128">
        <f>'Übersicht Score Index'!G129*Rezepte!AP129</f>
        <v>0</v>
      </c>
      <c r="P128">
        <f>'Übersicht Score Index'!G129*Rezepte!AQ129</f>
        <v>0</v>
      </c>
      <c r="Q128">
        <f>'Übersicht Score Index'!G129*Rezepte!AR129</f>
        <v>0</v>
      </c>
      <c r="R128">
        <f>'Übersicht Score Index'!H129*Rezepte!AP129</f>
        <v>0</v>
      </c>
      <c r="S128">
        <f>'Übersicht Score Index'!H129*Rezepte!AQ129</f>
        <v>0</v>
      </c>
      <c r="T128">
        <f>'Übersicht Score Index'!H129*Rezepte!AR129</f>
        <v>0</v>
      </c>
      <c r="U128">
        <f>'Übersicht Score Index'!I129*Rezepte!AP129</f>
        <v>0</v>
      </c>
      <c r="V128">
        <f>'Übersicht Score Index'!I129*Rezepte!AQ129</f>
        <v>0</v>
      </c>
      <c r="W128">
        <f>'Übersicht Score Index'!I129*Rezepte!AR129</f>
        <v>0</v>
      </c>
    </row>
    <row r="129" spans="1:23" x14ac:dyDescent="0.3">
      <c r="A129" s="2" t="s">
        <v>262</v>
      </c>
      <c r="B129" s="2" t="s">
        <v>263</v>
      </c>
      <c r="C129">
        <f>'Übersicht Score Index'!C130*Rezepte!AP130</f>
        <v>0</v>
      </c>
      <c r="D129">
        <f>'Übersicht Score Index'!C130*Rezepte!AQ130</f>
        <v>0</v>
      </c>
      <c r="E129">
        <f>'Übersicht Score Index'!C130*Rezepte!AR130</f>
        <v>0</v>
      </c>
      <c r="F129">
        <f>'Übersicht Score Index'!D130*Rezepte!AP130</f>
        <v>0</v>
      </c>
      <c r="G129">
        <f>'Übersicht Score Index'!D130*Rezepte!AQ130</f>
        <v>0</v>
      </c>
      <c r="H129">
        <f>'Übersicht Score Index'!D130*Rezepte!AR130</f>
        <v>0</v>
      </c>
      <c r="I129">
        <f>'Übersicht Score Index'!E130*Rezepte!AP130</f>
        <v>0</v>
      </c>
      <c r="J129">
        <f>'Übersicht Score Index'!E130*Rezepte!AQ130</f>
        <v>0</v>
      </c>
      <c r="K129">
        <f>'Übersicht Score Index'!E130*Rezepte!AR130</f>
        <v>0</v>
      </c>
      <c r="L129">
        <f>'Übersicht Score Index'!F130*Rezepte!AP130</f>
        <v>0</v>
      </c>
      <c r="M129">
        <f>'Übersicht Score Index'!F130*Rezepte!AQ130</f>
        <v>0</v>
      </c>
      <c r="N129">
        <f>'Übersicht Score Index'!F130*Rezepte!AR130</f>
        <v>0</v>
      </c>
      <c r="O129">
        <f>'Übersicht Score Index'!G130*Rezepte!AP130</f>
        <v>0</v>
      </c>
      <c r="P129">
        <f>'Übersicht Score Index'!G130*Rezepte!AQ130</f>
        <v>0</v>
      </c>
      <c r="Q129">
        <f>'Übersicht Score Index'!G130*Rezepte!AR130</f>
        <v>0</v>
      </c>
      <c r="R129">
        <f>'Übersicht Score Index'!H130*Rezepte!AP130</f>
        <v>0</v>
      </c>
      <c r="S129">
        <f>'Übersicht Score Index'!H130*Rezepte!AQ130</f>
        <v>0</v>
      </c>
      <c r="T129">
        <f>'Übersicht Score Index'!H130*Rezepte!AR130</f>
        <v>0</v>
      </c>
      <c r="U129">
        <f>'Übersicht Score Index'!I130*Rezepte!AP130</f>
        <v>0</v>
      </c>
      <c r="V129">
        <f>'Übersicht Score Index'!I130*Rezepte!AQ130</f>
        <v>0</v>
      </c>
      <c r="W129">
        <f>'Übersicht Score Index'!I130*Rezepte!AR130</f>
        <v>0</v>
      </c>
    </row>
    <row r="130" spans="1:23" x14ac:dyDescent="0.3">
      <c r="A130" s="2" t="s">
        <v>264</v>
      </c>
      <c r="B130" s="2" t="s">
        <v>265</v>
      </c>
      <c r="C130">
        <f>'Übersicht Score Index'!C131*Rezepte!AP131</f>
        <v>0</v>
      </c>
      <c r="D130">
        <f>'Übersicht Score Index'!C131*Rezepte!AQ131</f>
        <v>0</v>
      </c>
      <c r="E130">
        <f>'Übersicht Score Index'!C131*Rezepte!AR131</f>
        <v>0</v>
      </c>
      <c r="F130">
        <f>'Übersicht Score Index'!D131*Rezepte!AP131</f>
        <v>0</v>
      </c>
      <c r="G130">
        <f>'Übersicht Score Index'!D131*Rezepte!AQ131</f>
        <v>0</v>
      </c>
      <c r="H130">
        <f>'Übersicht Score Index'!D131*Rezepte!AR131</f>
        <v>0</v>
      </c>
      <c r="I130">
        <f>'Übersicht Score Index'!E131*Rezepte!AP131</f>
        <v>0</v>
      </c>
      <c r="J130">
        <f>'Übersicht Score Index'!E131*Rezepte!AQ131</f>
        <v>0</v>
      </c>
      <c r="K130">
        <f>'Übersicht Score Index'!E131*Rezepte!AR131</f>
        <v>0</v>
      </c>
      <c r="L130">
        <f>'Übersicht Score Index'!F131*Rezepte!AP131</f>
        <v>0</v>
      </c>
      <c r="M130">
        <f>'Übersicht Score Index'!F131*Rezepte!AQ131</f>
        <v>0</v>
      </c>
      <c r="N130">
        <f>'Übersicht Score Index'!F131*Rezepte!AR131</f>
        <v>0</v>
      </c>
      <c r="O130">
        <f>'Übersicht Score Index'!G131*Rezepte!AP131</f>
        <v>0</v>
      </c>
      <c r="P130">
        <f>'Übersicht Score Index'!G131*Rezepte!AQ131</f>
        <v>0</v>
      </c>
      <c r="Q130">
        <f>'Übersicht Score Index'!G131*Rezepte!AR131</f>
        <v>0</v>
      </c>
      <c r="R130">
        <f>'Übersicht Score Index'!H131*Rezepte!AP131</f>
        <v>0</v>
      </c>
      <c r="S130">
        <f>'Übersicht Score Index'!H131*Rezepte!AQ131</f>
        <v>0</v>
      </c>
      <c r="T130">
        <f>'Übersicht Score Index'!H131*Rezepte!AR131</f>
        <v>0</v>
      </c>
      <c r="U130">
        <f>'Übersicht Score Index'!I131*Rezepte!AP131</f>
        <v>0</v>
      </c>
      <c r="V130">
        <f>'Übersicht Score Index'!I131*Rezepte!AQ131</f>
        <v>0</v>
      </c>
      <c r="W130">
        <f>'Übersicht Score Index'!I131*Rezepte!AR131</f>
        <v>0</v>
      </c>
    </row>
    <row r="131" spans="1:23" x14ac:dyDescent="0.3">
      <c r="A131" s="2" t="s">
        <v>266</v>
      </c>
      <c r="B131" s="2" t="s">
        <v>267</v>
      </c>
      <c r="C131">
        <f>'Übersicht Score Index'!C132*Rezepte!AP132</f>
        <v>0</v>
      </c>
      <c r="D131">
        <f>'Übersicht Score Index'!C132*Rezepte!AQ132</f>
        <v>0</v>
      </c>
      <c r="E131">
        <f>'Übersicht Score Index'!C132*Rezepte!AR132</f>
        <v>0</v>
      </c>
      <c r="F131">
        <f>'Übersicht Score Index'!D132*Rezepte!AP132</f>
        <v>0</v>
      </c>
      <c r="G131">
        <f>'Übersicht Score Index'!D132*Rezepte!AQ132</f>
        <v>0</v>
      </c>
      <c r="H131">
        <f>'Übersicht Score Index'!D132*Rezepte!AR132</f>
        <v>0</v>
      </c>
      <c r="I131">
        <f>'Übersicht Score Index'!E132*Rezepte!AP132</f>
        <v>0</v>
      </c>
      <c r="J131">
        <f>'Übersicht Score Index'!E132*Rezepte!AQ132</f>
        <v>0</v>
      </c>
      <c r="K131">
        <f>'Übersicht Score Index'!E132*Rezepte!AR132</f>
        <v>0</v>
      </c>
      <c r="L131">
        <f>'Übersicht Score Index'!F132*Rezepte!AP132</f>
        <v>1.9210953736530503E-2</v>
      </c>
      <c r="M131">
        <f>'Übersicht Score Index'!F132*Rezepte!AQ132</f>
        <v>9.6054768682652513E-3</v>
      </c>
      <c r="N131">
        <f>'Übersicht Score Index'!F132*Rezepte!AR132</f>
        <v>9.6054768682652513E-3</v>
      </c>
      <c r="O131">
        <f>'Übersicht Score Index'!G132*Rezepte!AP132</f>
        <v>0</v>
      </c>
      <c r="P131">
        <f>'Übersicht Score Index'!G132*Rezepte!AQ132</f>
        <v>0</v>
      </c>
      <c r="Q131">
        <f>'Übersicht Score Index'!G132*Rezepte!AR132</f>
        <v>0</v>
      </c>
      <c r="R131">
        <f>'Übersicht Score Index'!H132*Rezepte!AP132</f>
        <v>0</v>
      </c>
      <c r="S131">
        <f>'Übersicht Score Index'!H132*Rezepte!AQ132</f>
        <v>0</v>
      </c>
      <c r="T131">
        <f>'Übersicht Score Index'!H132*Rezepte!AR132</f>
        <v>0</v>
      </c>
      <c r="U131">
        <f>'Übersicht Score Index'!I132*Rezepte!AP132</f>
        <v>0</v>
      </c>
      <c r="V131">
        <f>'Übersicht Score Index'!I132*Rezepte!AQ132</f>
        <v>0</v>
      </c>
      <c r="W131">
        <f>'Übersicht Score Index'!I132*Rezepte!AR132</f>
        <v>0</v>
      </c>
    </row>
    <row r="132" spans="1:23" x14ac:dyDescent="0.3">
      <c r="A132" s="2" t="s">
        <v>268</v>
      </c>
      <c r="B132" s="2" t="s">
        <v>269</v>
      </c>
      <c r="C132">
        <f>'Übersicht Score Index'!C133*Rezepte!AP133</f>
        <v>0</v>
      </c>
      <c r="D132">
        <f>'Übersicht Score Index'!C133*Rezepte!AQ133</f>
        <v>0</v>
      </c>
      <c r="E132">
        <f>'Übersicht Score Index'!C133*Rezepte!AR133</f>
        <v>0</v>
      </c>
      <c r="F132">
        <f>'Übersicht Score Index'!D133*Rezepte!AP133</f>
        <v>0</v>
      </c>
      <c r="G132">
        <f>'Übersicht Score Index'!D133*Rezepte!AQ133</f>
        <v>0</v>
      </c>
      <c r="H132">
        <f>'Übersicht Score Index'!D133*Rezepte!AR133</f>
        <v>0</v>
      </c>
      <c r="I132">
        <f>'Übersicht Score Index'!E133*Rezepte!AP133</f>
        <v>0</v>
      </c>
      <c r="J132">
        <f>'Übersicht Score Index'!E133*Rezepte!AQ133</f>
        <v>0</v>
      </c>
      <c r="K132">
        <f>'Übersicht Score Index'!E133*Rezepte!AR133</f>
        <v>0</v>
      </c>
      <c r="L132">
        <f>'Übersicht Score Index'!F133*Rezepte!AP133</f>
        <v>0</v>
      </c>
      <c r="M132">
        <f>'Übersicht Score Index'!F133*Rezepte!AQ133</f>
        <v>0</v>
      </c>
      <c r="N132">
        <f>'Übersicht Score Index'!F133*Rezepte!AR133</f>
        <v>0</v>
      </c>
      <c r="O132">
        <f>'Übersicht Score Index'!G133*Rezepte!AP133</f>
        <v>0</v>
      </c>
      <c r="P132">
        <f>'Übersicht Score Index'!G133*Rezepte!AQ133</f>
        <v>0</v>
      </c>
      <c r="Q132">
        <f>'Übersicht Score Index'!G133*Rezepte!AR133</f>
        <v>0</v>
      </c>
      <c r="R132">
        <f>'Übersicht Score Index'!H133*Rezepte!AP133</f>
        <v>0</v>
      </c>
      <c r="S132">
        <f>'Übersicht Score Index'!H133*Rezepte!AQ133</f>
        <v>0</v>
      </c>
      <c r="T132">
        <f>'Übersicht Score Index'!H133*Rezepte!AR133</f>
        <v>0</v>
      </c>
      <c r="U132">
        <f>'Übersicht Score Index'!I133*Rezepte!AP133</f>
        <v>0</v>
      </c>
      <c r="V132">
        <f>'Übersicht Score Index'!I133*Rezepte!AQ133</f>
        <v>0</v>
      </c>
      <c r="W132">
        <f>'Übersicht Score Index'!I133*Rezepte!AR133</f>
        <v>0</v>
      </c>
    </row>
    <row r="133" spans="1:23" x14ac:dyDescent="0.3">
      <c r="A133" s="2" t="s">
        <v>270</v>
      </c>
      <c r="B133" s="2" t="s">
        <v>271</v>
      </c>
      <c r="C133">
        <f>'Übersicht Score Index'!C134*Rezepte!AP134</f>
        <v>0</v>
      </c>
      <c r="D133">
        <f>'Übersicht Score Index'!C134*Rezepte!AQ134</f>
        <v>0</v>
      </c>
      <c r="E133">
        <f>'Übersicht Score Index'!C134*Rezepte!AR134</f>
        <v>0</v>
      </c>
      <c r="F133">
        <f>'Übersicht Score Index'!D134*Rezepte!AP134</f>
        <v>0</v>
      </c>
      <c r="G133">
        <f>'Übersicht Score Index'!D134*Rezepte!AQ134</f>
        <v>0</v>
      </c>
      <c r="H133">
        <f>'Übersicht Score Index'!D134*Rezepte!AR134</f>
        <v>0</v>
      </c>
      <c r="I133">
        <f>'Übersicht Score Index'!E134*Rezepte!AP134</f>
        <v>0</v>
      </c>
      <c r="J133">
        <f>'Übersicht Score Index'!E134*Rezepte!AQ134</f>
        <v>0</v>
      </c>
      <c r="K133">
        <f>'Übersicht Score Index'!E134*Rezepte!AR134</f>
        <v>0</v>
      </c>
      <c r="L133">
        <f>'Übersicht Score Index'!F134*Rezepte!AP134</f>
        <v>0</v>
      </c>
      <c r="M133">
        <f>'Übersicht Score Index'!F134*Rezepte!AQ134</f>
        <v>0</v>
      </c>
      <c r="N133">
        <f>'Übersicht Score Index'!F134*Rezepte!AR134</f>
        <v>0</v>
      </c>
      <c r="O133">
        <f>'Übersicht Score Index'!G134*Rezepte!AP134</f>
        <v>0</v>
      </c>
      <c r="P133">
        <f>'Übersicht Score Index'!G134*Rezepte!AQ134</f>
        <v>0</v>
      </c>
      <c r="Q133">
        <f>'Übersicht Score Index'!G134*Rezepte!AR134</f>
        <v>0</v>
      </c>
      <c r="R133">
        <f>'Übersicht Score Index'!H134*Rezepte!AP134</f>
        <v>0</v>
      </c>
      <c r="S133">
        <f>'Übersicht Score Index'!H134*Rezepte!AQ134</f>
        <v>0</v>
      </c>
      <c r="T133">
        <f>'Übersicht Score Index'!H134*Rezepte!AR134</f>
        <v>0</v>
      </c>
      <c r="U133">
        <f>'Übersicht Score Index'!I134*Rezepte!AP134</f>
        <v>0</v>
      </c>
      <c r="V133">
        <f>'Übersicht Score Index'!I134*Rezepte!AQ134</f>
        <v>0</v>
      </c>
      <c r="W133">
        <f>'Übersicht Score Index'!I134*Rezepte!AR134</f>
        <v>0</v>
      </c>
    </row>
    <row r="134" spans="1:23" x14ac:dyDescent="0.3">
      <c r="A134" s="2" t="s">
        <v>272</v>
      </c>
      <c r="B134" s="2" t="s">
        <v>273</v>
      </c>
      <c r="C134">
        <f>'Übersicht Score Index'!C135*Rezepte!AP135</f>
        <v>0</v>
      </c>
      <c r="D134">
        <f>'Übersicht Score Index'!C135*Rezepte!AQ135</f>
        <v>0</v>
      </c>
      <c r="E134">
        <f>'Übersicht Score Index'!C135*Rezepte!AR135</f>
        <v>0</v>
      </c>
      <c r="F134">
        <f>'Übersicht Score Index'!D135*Rezepte!AP135</f>
        <v>0</v>
      </c>
      <c r="G134">
        <f>'Übersicht Score Index'!D135*Rezepte!AQ135</f>
        <v>0</v>
      </c>
      <c r="H134">
        <f>'Übersicht Score Index'!D135*Rezepte!AR135</f>
        <v>0</v>
      </c>
      <c r="I134">
        <f>'Übersicht Score Index'!E135*Rezepte!AP135</f>
        <v>0</v>
      </c>
      <c r="J134">
        <f>'Übersicht Score Index'!E135*Rezepte!AQ135</f>
        <v>0</v>
      </c>
      <c r="K134">
        <f>'Übersicht Score Index'!E135*Rezepte!AR135</f>
        <v>0</v>
      </c>
      <c r="L134">
        <f>'Übersicht Score Index'!F135*Rezepte!AP135</f>
        <v>0</v>
      </c>
      <c r="M134">
        <f>'Übersicht Score Index'!F135*Rezepte!AQ135</f>
        <v>0</v>
      </c>
      <c r="N134">
        <f>'Übersicht Score Index'!F135*Rezepte!AR135</f>
        <v>0</v>
      </c>
      <c r="O134">
        <f>'Übersicht Score Index'!G135*Rezepte!AP135</f>
        <v>0</v>
      </c>
      <c r="P134">
        <f>'Übersicht Score Index'!G135*Rezepte!AQ135</f>
        <v>0</v>
      </c>
      <c r="Q134">
        <f>'Übersicht Score Index'!G135*Rezepte!AR135</f>
        <v>0</v>
      </c>
      <c r="R134">
        <f>'Übersicht Score Index'!H135*Rezepte!AP135</f>
        <v>0</v>
      </c>
      <c r="S134">
        <f>'Übersicht Score Index'!H135*Rezepte!AQ135</f>
        <v>0</v>
      </c>
      <c r="T134">
        <f>'Übersicht Score Index'!H135*Rezepte!AR135</f>
        <v>0</v>
      </c>
      <c r="U134">
        <f>'Übersicht Score Index'!I135*Rezepte!AP135</f>
        <v>0</v>
      </c>
      <c r="V134">
        <f>'Übersicht Score Index'!I135*Rezepte!AQ135</f>
        <v>0</v>
      </c>
      <c r="W134">
        <f>'Übersicht Score Index'!I135*Rezepte!AR135</f>
        <v>0</v>
      </c>
    </row>
    <row r="135" spans="1:23" x14ac:dyDescent="0.3">
      <c r="A135" s="2" t="s">
        <v>274</v>
      </c>
      <c r="B135" s="2" t="s">
        <v>275</v>
      </c>
      <c r="C135">
        <f>'Übersicht Score Index'!C136*Rezepte!AP136</f>
        <v>0</v>
      </c>
      <c r="D135">
        <f>'Übersicht Score Index'!C136*Rezepte!AQ136</f>
        <v>0</v>
      </c>
      <c r="E135">
        <f>'Übersicht Score Index'!C136*Rezepte!AR136</f>
        <v>0</v>
      </c>
      <c r="F135">
        <f>'Übersicht Score Index'!D136*Rezepte!AP136</f>
        <v>0</v>
      </c>
      <c r="G135">
        <f>'Übersicht Score Index'!D136*Rezepte!AQ136</f>
        <v>0</v>
      </c>
      <c r="H135">
        <f>'Übersicht Score Index'!D136*Rezepte!AR136</f>
        <v>0</v>
      </c>
      <c r="I135">
        <f>'Übersicht Score Index'!E136*Rezepte!AP136</f>
        <v>0</v>
      </c>
      <c r="J135">
        <f>'Übersicht Score Index'!E136*Rezepte!AQ136</f>
        <v>0</v>
      </c>
      <c r="K135">
        <f>'Übersicht Score Index'!E136*Rezepte!AR136</f>
        <v>0</v>
      </c>
      <c r="L135">
        <f>'Übersicht Score Index'!F136*Rezepte!AP136</f>
        <v>1.7464503396845914E-4</v>
      </c>
      <c r="M135">
        <f>'Übersicht Score Index'!F136*Rezepte!AQ136</f>
        <v>8.7322516984229571E-5</v>
      </c>
      <c r="N135">
        <f>'Übersicht Score Index'!F136*Rezepte!AR136</f>
        <v>8.7322516984229571E-5</v>
      </c>
      <c r="O135">
        <f>'Übersicht Score Index'!G136*Rezepte!AP136</f>
        <v>0</v>
      </c>
      <c r="P135">
        <f>'Übersicht Score Index'!G136*Rezepte!AQ136</f>
        <v>0</v>
      </c>
      <c r="Q135">
        <f>'Übersicht Score Index'!G136*Rezepte!AR136</f>
        <v>0</v>
      </c>
      <c r="R135">
        <f>'Übersicht Score Index'!H136*Rezepte!AP136</f>
        <v>0</v>
      </c>
      <c r="S135">
        <f>'Übersicht Score Index'!H136*Rezepte!AQ136</f>
        <v>0</v>
      </c>
      <c r="T135">
        <f>'Übersicht Score Index'!H136*Rezepte!AR136</f>
        <v>0</v>
      </c>
      <c r="U135">
        <f>'Übersicht Score Index'!I136*Rezepte!AP136</f>
        <v>0</v>
      </c>
      <c r="V135">
        <f>'Übersicht Score Index'!I136*Rezepte!AQ136</f>
        <v>0</v>
      </c>
      <c r="W135">
        <f>'Übersicht Score Index'!I136*Rezepte!AR136</f>
        <v>0</v>
      </c>
    </row>
    <row r="136" spans="1:23" x14ac:dyDescent="0.3">
      <c r="A136" s="2" t="s">
        <v>276</v>
      </c>
      <c r="B136" s="2" t="s">
        <v>277</v>
      </c>
      <c r="C136" t="e">
        <f>'Übersicht Score Index'!#REF!*Rezepte!#REF!</f>
        <v>#REF!</v>
      </c>
      <c r="D136" t="e">
        <f>'Übersicht Score Index'!#REF!*Rezepte!#REF!</f>
        <v>#REF!</v>
      </c>
      <c r="E136" t="e">
        <f>'Übersicht Score Index'!#REF!*Rezepte!#REF!</f>
        <v>#REF!</v>
      </c>
      <c r="F136" t="e">
        <f>'Übersicht Score Index'!#REF!*Rezepte!#REF!</f>
        <v>#REF!</v>
      </c>
      <c r="G136" t="e">
        <f>'Übersicht Score Index'!#REF!*Rezepte!#REF!</f>
        <v>#REF!</v>
      </c>
      <c r="H136" t="e">
        <f>'Übersicht Score Index'!#REF!*Rezepte!#REF!</f>
        <v>#REF!</v>
      </c>
      <c r="I136" t="e">
        <f>'Übersicht Score Index'!#REF!*Rezepte!#REF!</f>
        <v>#REF!</v>
      </c>
      <c r="J136" t="e">
        <f>'Übersicht Score Index'!#REF!*Rezepte!#REF!</f>
        <v>#REF!</v>
      </c>
      <c r="K136" t="e">
        <f>'Übersicht Score Index'!#REF!*Rezepte!#REF!</f>
        <v>#REF!</v>
      </c>
      <c r="L136" t="e">
        <f>'Übersicht Score Index'!#REF!*Rezepte!#REF!</f>
        <v>#REF!</v>
      </c>
      <c r="M136" t="e">
        <f>'Übersicht Score Index'!#REF!*Rezepte!#REF!</f>
        <v>#REF!</v>
      </c>
      <c r="N136" t="e">
        <f>'Übersicht Score Index'!#REF!*Rezepte!#REF!</f>
        <v>#REF!</v>
      </c>
      <c r="O136" t="e">
        <f>'Übersicht Score Index'!#REF!*Rezepte!#REF!</f>
        <v>#REF!</v>
      </c>
      <c r="P136" t="e">
        <f>'Übersicht Score Index'!#REF!*Rezepte!#REF!</f>
        <v>#REF!</v>
      </c>
      <c r="Q136" t="e">
        <f>'Übersicht Score Index'!#REF!*Rezepte!#REF!</f>
        <v>#REF!</v>
      </c>
      <c r="R136" t="e">
        <f>'Übersicht Score Index'!#REF!*Rezepte!#REF!</f>
        <v>#REF!</v>
      </c>
      <c r="S136" t="e">
        <f>'Übersicht Score Index'!#REF!*Rezepte!#REF!</f>
        <v>#REF!</v>
      </c>
      <c r="T136" t="e">
        <f>'Übersicht Score Index'!#REF!*Rezepte!#REF!</f>
        <v>#REF!</v>
      </c>
      <c r="U136" t="e">
        <f>'Übersicht Score Index'!#REF!*Rezepte!#REF!</f>
        <v>#REF!</v>
      </c>
      <c r="V136" t="e">
        <f>'Übersicht Score Index'!#REF!*Rezepte!#REF!</f>
        <v>#REF!</v>
      </c>
      <c r="W136" t="e">
        <f>'Übersicht Score Index'!#REF!*Rezepte!#REF!</f>
        <v>#REF!</v>
      </c>
    </row>
    <row r="137" spans="1:23" x14ac:dyDescent="0.3">
      <c r="A137" s="2" t="s">
        <v>278</v>
      </c>
      <c r="B137" s="2" t="s">
        <v>279</v>
      </c>
      <c r="C137">
        <f>'Übersicht Score Index'!C137*Rezepte!AP137</f>
        <v>0</v>
      </c>
      <c r="D137">
        <f>'Übersicht Score Index'!C137*Rezepte!AQ137</f>
        <v>0</v>
      </c>
      <c r="E137">
        <f>'Übersicht Score Index'!C137*Rezepte!AR137</f>
        <v>0</v>
      </c>
      <c r="F137">
        <f>'Übersicht Score Index'!D137*Rezepte!AP137</f>
        <v>0</v>
      </c>
      <c r="G137">
        <f>'Übersicht Score Index'!D137*Rezepte!AQ137</f>
        <v>0</v>
      </c>
      <c r="H137">
        <f>'Übersicht Score Index'!D137*Rezepte!AR137</f>
        <v>0</v>
      </c>
      <c r="I137">
        <f>'Übersicht Score Index'!E137*Rezepte!AP137</f>
        <v>0</v>
      </c>
      <c r="J137">
        <f>'Übersicht Score Index'!E137*Rezepte!AQ137</f>
        <v>0</v>
      </c>
      <c r="K137">
        <f>'Übersicht Score Index'!E137*Rezepte!AR137</f>
        <v>0</v>
      </c>
      <c r="L137">
        <f>'Übersicht Score Index'!F137*Rezepte!AP137</f>
        <v>0</v>
      </c>
      <c r="M137">
        <f>'Übersicht Score Index'!F137*Rezepte!AQ137</f>
        <v>0</v>
      </c>
      <c r="N137">
        <f>'Übersicht Score Index'!F137*Rezepte!AR137</f>
        <v>0</v>
      </c>
      <c r="O137">
        <f>'Übersicht Score Index'!G137*Rezepte!AP137</f>
        <v>0</v>
      </c>
      <c r="P137">
        <f>'Übersicht Score Index'!G137*Rezepte!AQ137</f>
        <v>0</v>
      </c>
      <c r="Q137">
        <f>'Übersicht Score Index'!G137*Rezepte!AR137</f>
        <v>0</v>
      </c>
      <c r="R137">
        <f>'Übersicht Score Index'!H137*Rezepte!AP137</f>
        <v>0</v>
      </c>
      <c r="S137">
        <f>'Übersicht Score Index'!H137*Rezepte!AQ137</f>
        <v>0</v>
      </c>
      <c r="T137">
        <f>'Übersicht Score Index'!H137*Rezepte!AR137</f>
        <v>0</v>
      </c>
      <c r="U137">
        <f>'Übersicht Score Index'!I137*Rezepte!AP137</f>
        <v>0</v>
      </c>
      <c r="V137">
        <f>'Übersicht Score Index'!I137*Rezepte!AQ137</f>
        <v>0</v>
      </c>
      <c r="W137">
        <f>'Übersicht Score Index'!I137*Rezepte!AR137</f>
        <v>0</v>
      </c>
    </row>
    <row r="138" spans="1:23" x14ac:dyDescent="0.3">
      <c r="A138" s="2" t="s">
        <v>280</v>
      </c>
      <c r="B138" s="2" t="s">
        <v>281</v>
      </c>
      <c r="C138">
        <f>'Übersicht Score Index'!C138*Rezepte!AP138</f>
        <v>0</v>
      </c>
      <c r="D138">
        <f>'Übersicht Score Index'!C138*Rezepte!AQ138</f>
        <v>0</v>
      </c>
      <c r="E138">
        <f>'Übersicht Score Index'!C138*Rezepte!AR138</f>
        <v>0</v>
      </c>
      <c r="F138">
        <f>'Übersicht Score Index'!D138*Rezepte!AP138</f>
        <v>0</v>
      </c>
      <c r="G138">
        <f>'Übersicht Score Index'!D138*Rezepte!AQ138</f>
        <v>0</v>
      </c>
      <c r="H138">
        <f>'Übersicht Score Index'!D138*Rezepte!AR138</f>
        <v>0</v>
      </c>
      <c r="I138">
        <f>'Übersicht Score Index'!E138*Rezepte!AP138</f>
        <v>0</v>
      </c>
      <c r="J138">
        <f>'Übersicht Score Index'!E138*Rezepte!AQ138</f>
        <v>0</v>
      </c>
      <c r="K138">
        <f>'Übersicht Score Index'!E138*Rezepte!AR138</f>
        <v>0</v>
      </c>
      <c r="L138">
        <f>'Übersicht Score Index'!F138*Rezepte!AP138</f>
        <v>0</v>
      </c>
      <c r="M138">
        <f>'Übersicht Score Index'!F138*Rezepte!AQ138</f>
        <v>0</v>
      </c>
      <c r="N138">
        <f>'Übersicht Score Index'!F138*Rezepte!AR138</f>
        <v>0</v>
      </c>
      <c r="O138">
        <f>'Übersicht Score Index'!G138*Rezepte!AP138</f>
        <v>0</v>
      </c>
      <c r="P138">
        <f>'Übersicht Score Index'!G138*Rezepte!AQ138</f>
        <v>0</v>
      </c>
      <c r="Q138">
        <f>'Übersicht Score Index'!G138*Rezepte!AR138</f>
        <v>0</v>
      </c>
      <c r="R138">
        <f>'Übersicht Score Index'!H138*Rezepte!AP138</f>
        <v>0</v>
      </c>
      <c r="S138">
        <f>'Übersicht Score Index'!H138*Rezepte!AQ138</f>
        <v>0</v>
      </c>
      <c r="T138">
        <f>'Übersicht Score Index'!H138*Rezepte!AR138</f>
        <v>0</v>
      </c>
      <c r="U138">
        <f>'Übersicht Score Index'!I138*Rezepte!AP138</f>
        <v>0</v>
      </c>
      <c r="V138">
        <f>'Übersicht Score Index'!I138*Rezepte!AQ138</f>
        <v>0</v>
      </c>
      <c r="W138">
        <f>'Übersicht Score Index'!I138*Rezepte!AR138</f>
        <v>0</v>
      </c>
    </row>
    <row r="139" spans="1:23" x14ac:dyDescent="0.3">
      <c r="A139" s="2" t="s">
        <v>282</v>
      </c>
      <c r="B139" s="2" t="s">
        <v>283</v>
      </c>
      <c r="C139">
        <f>'Übersicht Score Index'!C139*Rezepte!AP139</f>
        <v>0</v>
      </c>
      <c r="D139">
        <f>'Übersicht Score Index'!C139*Rezepte!AQ139</f>
        <v>0</v>
      </c>
      <c r="E139">
        <f>'Übersicht Score Index'!C139*Rezepte!AR139</f>
        <v>0</v>
      </c>
      <c r="F139">
        <f>'Übersicht Score Index'!D139*Rezepte!AP139</f>
        <v>0</v>
      </c>
      <c r="G139">
        <f>'Übersicht Score Index'!D139*Rezepte!AQ139</f>
        <v>0</v>
      </c>
      <c r="H139">
        <f>'Übersicht Score Index'!D139*Rezepte!AR139</f>
        <v>0</v>
      </c>
      <c r="I139">
        <f>'Übersicht Score Index'!E139*Rezepte!AP139</f>
        <v>0</v>
      </c>
      <c r="J139">
        <f>'Übersicht Score Index'!E139*Rezepte!AQ139</f>
        <v>0</v>
      </c>
      <c r="K139">
        <f>'Übersicht Score Index'!E139*Rezepte!AR139</f>
        <v>0</v>
      </c>
      <c r="L139">
        <f>'Übersicht Score Index'!F139*Rezepte!AP139</f>
        <v>0</v>
      </c>
      <c r="M139">
        <f>'Übersicht Score Index'!F139*Rezepte!AQ139</f>
        <v>0</v>
      </c>
      <c r="N139">
        <f>'Übersicht Score Index'!F139*Rezepte!AR139</f>
        <v>0</v>
      </c>
      <c r="O139">
        <f>'Übersicht Score Index'!G139*Rezepte!AP139</f>
        <v>0</v>
      </c>
      <c r="P139">
        <f>'Übersicht Score Index'!G139*Rezepte!AQ139</f>
        <v>0</v>
      </c>
      <c r="Q139">
        <f>'Übersicht Score Index'!G139*Rezepte!AR139</f>
        <v>0</v>
      </c>
      <c r="R139">
        <f>'Übersicht Score Index'!H139*Rezepte!AP139</f>
        <v>0</v>
      </c>
      <c r="S139">
        <f>'Übersicht Score Index'!H139*Rezepte!AQ139</f>
        <v>0</v>
      </c>
      <c r="T139">
        <f>'Übersicht Score Index'!H139*Rezepte!AR139</f>
        <v>0</v>
      </c>
      <c r="U139">
        <f>'Übersicht Score Index'!I139*Rezepte!AP139</f>
        <v>0</v>
      </c>
      <c r="V139">
        <f>'Übersicht Score Index'!I139*Rezepte!AQ139</f>
        <v>0</v>
      </c>
      <c r="W139">
        <f>'Übersicht Score Index'!I139*Rezepte!AR139</f>
        <v>0</v>
      </c>
    </row>
    <row r="140" spans="1:23" x14ac:dyDescent="0.3">
      <c r="A140" s="2" t="s">
        <v>284</v>
      </c>
      <c r="B140" s="2" t="s">
        <v>285</v>
      </c>
      <c r="C140">
        <f>'Übersicht Score Index'!C140*Rezepte!AP140</f>
        <v>0</v>
      </c>
      <c r="D140">
        <f>'Übersicht Score Index'!C140*Rezepte!AQ140</f>
        <v>0</v>
      </c>
      <c r="E140">
        <f>'Übersicht Score Index'!C140*Rezepte!AR140</f>
        <v>0</v>
      </c>
      <c r="F140">
        <f>'Übersicht Score Index'!D140*Rezepte!AP140</f>
        <v>0</v>
      </c>
      <c r="G140">
        <f>'Übersicht Score Index'!D140*Rezepte!AQ140</f>
        <v>0</v>
      </c>
      <c r="H140">
        <f>'Übersicht Score Index'!D140*Rezepte!AR140</f>
        <v>0</v>
      </c>
      <c r="I140">
        <f>'Übersicht Score Index'!E140*Rezepte!AP140</f>
        <v>0</v>
      </c>
      <c r="J140">
        <f>'Übersicht Score Index'!E140*Rezepte!AQ140</f>
        <v>0</v>
      </c>
      <c r="K140">
        <f>'Übersicht Score Index'!E140*Rezepte!AR140</f>
        <v>0</v>
      </c>
      <c r="L140">
        <f>'Übersicht Score Index'!F140*Rezepte!AP140</f>
        <v>0</v>
      </c>
      <c r="M140">
        <f>'Übersicht Score Index'!F140*Rezepte!AQ140</f>
        <v>0</v>
      </c>
      <c r="N140">
        <f>'Übersicht Score Index'!F140*Rezepte!AR140</f>
        <v>0</v>
      </c>
      <c r="O140">
        <f>'Übersicht Score Index'!G140*Rezepte!AP140</f>
        <v>0</v>
      </c>
      <c r="P140">
        <f>'Übersicht Score Index'!G140*Rezepte!AQ140</f>
        <v>0</v>
      </c>
      <c r="Q140">
        <f>'Übersicht Score Index'!G140*Rezepte!AR140</f>
        <v>0</v>
      </c>
      <c r="R140">
        <f>'Übersicht Score Index'!H140*Rezepte!AP140</f>
        <v>0</v>
      </c>
      <c r="S140">
        <f>'Übersicht Score Index'!H140*Rezepte!AQ140</f>
        <v>0</v>
      </c>
      <c r="T140">
        <f>'Übersicht Score Index'!H140*Rezepte!AR140</f>
        <v>0</v>
      </c>
      <c r="U140">
        <f>'Übersicht Score Index'!I140*Rezepte!AP140</f>
        <v>0</v>
      </c>
      <c r="V140">
        <f>'Übersicht Score Index'!I140*Rezepte!AQ140</f>
        <v>0</v>
      </c>
      <c r="W140">
        <f>'Übersicht Score Index'!I140*Rezepte!AR140</f>
        <v>0</v>
      </c>
    </row>
    <row r="141" spans="1:23" x14ac:dyDescent="0.3">
      <c r="A141" s="2" t="s">
        <v>286</v>
      </c>
      <c r="B141" s="2" t="s">
        <v>287</v>
      </c>
      <c r="C141">
        <f>'Übersicht Score Index'!C141*Rezepte!AP141</f>
        <v>0</v>
      </c>
      <c r="D141">
        <f>'Übersicht Score Index'!C141*Rezepte!AQ141</f>
        <v>0</v>
      </c>
      <c r="E141">
        <f>'Übersicht Score Index'!C141*Rezepte!AR141</f>
        <v>0</v>
      </c>
      <c r="F141">
        <f>'Übersicht Score Index'!D141*Rezepte!AP141</f>
        <v>0</v>
      </c>
      <c r="G141">
        <f>'Übersicht Score Index'!D141*Rezepte!AQ141</f>
        <v>0</v>
      </c>
      <c r="H141">
        <f>'Übersicht Score Index'!D141*Rezepte!AR141</f>
        <v>0</v>
      </c>
      <c r="I141">
        <f>'Übersicht Score Index'!E141*Rezepte!AP141</f>
        <v>0</v>
      </c>
      <c r="J141">
        <f>'Übersicht Score Index'!E141*Rezepte!AQ141</f>
        <v>0</v>
      </c>
      <c r="K141">
        <f>'Übersicht Score Index'!E141*Rezepte!AR141</f>
        <v>0</v>
      </c>
      <c r="L141">
        <f>'Übersicht Score Index'!F141*Rezepte!AP141</f>
        <v>0</v>
      </c>
      <c r="M141">
        <f>'Übersicht Score Index'!F141*Rezepte!AQ141</f>
        <v>0</v>
      </c>
      <c r="N141">
        <f>'Übersicht Score Index'!F141*Rezepte!AR141</f>
        <v>0</v>
      </c>
      <c r="O141">
        <f>'Übersicht Score Index'!G141*Rezepte!AP141</f>
        <v>0</v>
      </c>
      <c r="P141">
        <f>'Übersicht Score Index'!G141*Rezepte!AQ141</f>
        <v>0</v>
      </c>
      <c r="Q141">
        <f>'Übersicht Score Index'!G141*Rezepte!AR141</f>
        <v>0</v>
      </c>
      <c r="R141">
        <f>'Übersicht Score Index'!H141*Rezepte!AP141</f>
        <v>0</v>
      </c>
      <c r="S141">
        <f>'Übersicht Score Index'!H141*Rezepte!AQ141</f>
        <v>0</v>
      </c>
      <c r="T141">
        <f>'Übersicht Score Index'!H141*Rezepte!AR141</f>
        <v>0</v>
      </c>
      <c r="U141">
        <f>'Übersicht Score Index'!I141*Rezepte!AP141</f>
        <v>0</v>
      </c>
      <c r="V141">
        <f>'Übersicht Score Index'!I141*Rezepte!AQ141</f>
        <v>0</v>
      </c>
      <c r="W141">
        <f>'Übersicht Score Index'!I141*Rezepte!AR141</f>
        <v>0</v>
      </c>
    </row>
    <row r="142" spans="1:23" x14ac:dyDescent="0.3">
      <c r="A142" s="2" t="s">
        <v>288</v>
      </c>
      <c r="B142" s="2" t="s">
        <v>289</v>
      </c>
      <c r="C142">
        <f>'Übersicht Score Index'!C142*Rezepte!AP142</f>
        <v>0</v>
      </c>
      <c r="D142">
        <f>'Übersicht Score Index'!C142*Rezepte!AQ142</f>
        <v>0</v>
      </c>
      <c r="E142">
        <f>'Übersicht Score Index'!C142*Rezepte!AR142</f>
        <v>0</v>
      </c>
      <c r="F142">
        <f>'Übersicht Score Index'!D142*Rezepte!AP142</f>
        <v>0</v>
      </c>
      <c r="G142">
        <f>'Übersicht Score Index'!D142*Rezepte!AQ142</f>
        <v>0</v>
      </c>
      <c r="H142">
        <f>'Übersicht Score Index'!D142*Rezepte!AR142</f>
        <v>0</v>
      </c>
      <c r="I142">
        <f>'Übersicht Score Index'!E142*Rezepte!AP142</f>
        <v>0</v>
      </c>
      <c r="J142">
        <f>'Übersicht Score Index'!E142*Rezepte!AQ142</f>
        <v>0</v>
      </c>
      <c r="K142">
        <f>'Übersicht Score Index'!E142*Rezepte!AR142</f>
        <v>0</v>
      </c>
      <c r="L142">
        <f>'Übersicht Score Index'!F142*Rezepte!AP142</f>
        <v>0</v>
      </c>
      <c r="M142">
        <f>'Übersicht Score Index'!F142*Rezepte!AQ142</f>
        <v>0</v>
      </c>
      <c r="N142">
        <f>'Übersicht Score Index'!F142*Rezepte!AR142</f>
        <v>0</v>
      </c>
      <c r="O142">
        <f>'Übersicht Score Index'!G142*Rezepte!AP142</f>
        <v>0</v>
      </c>
      <c r="P142">
        <f>'Übersicht Score Index'!G142*Rezepte!AQ142</f>
        <v>0</v>
      </c>
      <c r="Q142">
        <f>'Übersicht Score Index'!G142*Rezepte!AR142</f>
        <v>0</v>
      </c>
      <c r="R142">
        <f>'Übersicht Score Index'!H142*Rezepte!AP142</f>
        <v>0</v>
      </c>
      <c r="S142">
        <f>'Übersicht Score Index'!H142*Rezepte!AQ142</f>
        <v>0</v>
      </c>
      <c r="T142">
        <f>'Übersicht Score Index'!H142*Rezepte!AR142</f>
        <v>0</v>
      </c>
      <c r="U142">
        <f>'Übersicht Score Index'!I142*Rezepte!AP142</f>
        <v>0</v>
      </c>
      <c r="V142">
        <f>'Übersicht Score Index'!I142*Rezepte!AQ142</f>
        <v>0</v>
      </c>
      <c r="W142">
        <f>'Übersicht Score Index'!I142*Rezepte!AR142</f>
        <v>0</v>
      </c>
    </row>
    <row r="143" spans="1:23" x14ac:dyDescent="0.3">
      <c r="A143" s="2" t="s">
        <v>290</v>
      </c>
      <c r="B143" s="2" t="s">
        <v>291</v>
      </c>
      <c r="C143">
        <f>'Übersicht Score Index'!C143*Rezepte!AP143</f>
        <v>0</v>
      </c>
      <c r="D143">
        <f>'Übersicht Score Index'!C143*Rezepte!AQ143</f>
        <v>0</v>
      </c>
      <c r="E143">
        <f>'Übersicht Score Index'!C143*Rezepte!AR143</f>
        <v>0</v>
      </c>
      <c r="F143">
        <f>'Übersicht Score Index'!D143*Rezepte!AP143</f>
        <v>0</v>
      </c>
      <c r="G143">
        <f>'Übersicht Score Index'!D143*Rezepte!AQ143</f>
        <v>0</v>
      </c>
      <c r="H143">
        <f>'Übersicht Score Index'!D143*Rezepte!AR143</f>
        <v>0</v>
      </c>
      <c r="I143">
        <f>'Übersicht Score Index'!E143*Rezepte!AP143</f>
        <v>0</v>
      </c>
      <c r="J143">
        <f>'Übersicht Score Index'!E143*Rezepte!AQ143</f>
        <v>0</v>
      </c>
      <c r="K143">
        <f>'Übersicht Score Index'!E143*Rezepte!AR143</f>
        <v>0</v>
      </c>
      <c r="L143">
        <f>'Übersicht Score Index'!F143*Rezepte!AP143</f>
        <v>0</v>
      </c>
      <c r="M143">
        <f>'Übersicht Score Index'!F143*Rezepte!AQ143</f>
        <v>0</v>
      </c>
      <c r="N143">
        <f>'Übersicht Score Index'!F143*Rezepte!AR143</f>
        <v>0</v>
      </c>
      <c r="O143">
        <f>'Übersicht Score Index'!G143*Rezepte!AP143</f>
        <v>0</v>
      </c>
      <c r="P143">
        <f>'Übersicht Score Index'!G143*Rezepte!AQ143</f>
        <v>0</v>
      </c>
      <c r="Q143">
        <f>'Übersicht Score Index'!G143*Rezepte!AR143</f>
        <v>0</v>
      </c>
      <c r="R143">
        <f>'Übersicht Score Index'!H143*Rezepte!AP143</f>
        <v>0</v>
      </c>
      <c r="S143">
        <f>'Übersicht Score Index'!H143*Rezepte!AQ143</f>
        <v>0</v>
      </c>
      <c r="T143">
        <f>'Übersicht Score Index'!H143*Rezepte!AR143</f>
        <v>0</v>
      </c>
      <c r="U143">
        <f>'Übersicht Score Index'!I143*Rezepte!AP143</f>
        <v>0</v>
      </c>
      <c r="V143">
        <f>'Übersicht Score Index'!I143*Rezepte!AQ143</f>
        <v>0</v>
      </c>
      <c r="W143">
        <f>'Übersicht Score Index'!I143*Rezepte!AR143</f>
        <v>0</v>
      </c>
    </row>
    <row r="144" spans="1:23" x14ac:dyDescent="0.3">
      <c r="A144" s="2" t="s">
        <v>292</v>
      </c>
      <c r="B144" s="2" t="s">
        <v>293</v>
      </c>
      <c r="C144">
        <f>'Übersicht Score Index'!C144*Rezepte!AP144</f>
        <v>0</v>
      </c>
      <c r="D144">
        <f>'Übersicht Score Index'!C144*Rezepte!AQ144</f>
        <v>0</v>
      </c>
      <c r="E144">
        <f>'Übersicht Score Index'!C144*Rezepte!AR144</f>
        <v>0</v>
      </c>
      <c r="F144">
        <f>'Übersicht Score Index'!D144*Rezepte!AP144</f>
        <v>0</v>
      </c>
      <c r="G144">
        <f>'Übersicht Score Index'!D144*Rezepte!AQ144</f>
        <v>0</v>
      </c>
      <c r="H144">
        <f>'Übersicht Score Index'!D144*Rezepte!AR144</f>
        <v>0</v>
      </c>
      <c r="I144">
        <f>'Übersicht Score Index'!E144*Rezepte!AP144</f>
        <v>0</v>
      </c>
      <c r="J144">
        <f>'Übersicht Score Index'!E144*Rezepte!AQ144</f>
        <v>0</v>
      </c>
      <c r="K144">
        <f>'Übersicht Score Index'!E144*Rezepte!AR144</f>
        <v>0</v>
      </c>
      <c r="L144">
        <f>'Übersicht Score Index'!F144*Rezepte!AP144</f>
        <v>0</v>
      </c>
      <c r="M144">
        <f>'Übersicht Score Index'!F144*Rezepte!AQ144</f>
        <v>0</v>
      </c>
      <c r="N144">
        <f>'Übersicht Score Index'!F144*Rezepte!AR144</f>
        <v>0</v>
      </c>
      <c r="O144">
        <f>'Übersicht Score Index'!G144*Rezepte!AP144</f>
        <v>0</v>
      </c>
      <c r="P144">
        <f>'Übersicht Score Index'!G144*Rezepte!AQ144</f>
        <v>0</v>
      </c>
      <c r="Q144">
        <f>'Übersicht Score Index'!G144*Rezepte!AR144</f>
        <v>0</v>
      </c>
      <c r="R144">
        <f>'Übersicht Score Index'!H144*Rezepte!AP144</f>
        <v>0</v>
      </c>
      <c r="S144">
        <f>'Übersicht Score Index'!H144*Rezepte!AQ144</f>
        <v>0</v>
      </c>
      <c r="T144">
        <f>'Übersicht Score Index'!H144*Rezepte!AR144</f>
        <v>0</v>
      </c>
      <c r="U144">
        <f>'Übersicht Score Index'!I144*Rezepte!AP144</f>
        <v>0</v>
      </c>
      <c r="V144">
        <f>'Übersicht Score Index'!I144*Rezepte!AQ144</f>
        <v>0</v>
      </c>
      <c r="W144">
        <f>'Übersicht Score Index'!I144*Rezepte!AR144</f>
        <v>0</v>
      </c>
    </row>
    <row r="145" spans="1:23" x14ac:dyDescent="0.3">
      <c r="A145" s="2" t="s">
        <v>294</v>
      </c>
      <c r="B145" s="2" t="s">
        <v>295</v>
      </c>
      <c r="C145">
        <f>'Übersicht Score Index'!C145*Rezepte!AP145</f>
        <v>0</v>
      </c>
      <c r="D145">
        <f>'Übersicht Score Index'!C145*Rezepte!AQ145</f>
        <v>0</v>
      </c>
      <c r="E145">
        <f>'Übersicht Score Index'!C145*Rezepte!AR145</f>
        <v>0</v>
      </c>
      <c r="F145">
        <f>'Übersicht Score Index'!D145*Rezepte!AP145</f>
        <v>0</v>
      </c>
      <c r="G145">
        <f>'Übersicht Score Index'!D145*Rezepte!AQ145</f>
        <v>0</v>
      </c>
      <c r="H145">
        <f>'Übersicht Score Index'!D145*Rezepte!AR145</f>
        <v>0</v>
      </c>
      <c r="I145">
        <f>'Übersicht Score Index'!E145*Rezepte!AP145</f>
        <v>0</v>
      </c>
      <c r="J145">
        <f>'Übersicht Score Index'!E145*Rezepte!AQ145</f>
        <v>0</v>
      </c>
      <c r="K145">
        <f>'Übersicht Score Index'!E145*Rezepte!AR145</f>
        <v>0</v>
      </c>
      <c r="L145">
        <f>'Übersicht Score Index'!F145*Rezepte!AP145</f>
        <v>0</v>
      </c>
      <c r="M145">
        <f>'Übersicht Score Index'!F145*Rezepte!AQ145</f>
        <v>0</v>
      </c>
      <c r="N145">
        <f>'Übersicht Score Index'!F145*Rezepte!AR145</f>
        <v>0</v>
      </c>
      <c r="O145">
        <f>'Übersicht Score Index'!G145*Rezepte!AP145</f>
        <v>0</v>
      </c>
      <c r="P145">
        <f>'Übersicht Score Index'!G145*Rezepte!AQ145</f>
        <v>0</v>
      </c>
      <c r="Q145">
        <f>'Übersicht Score Index'!G145*Rezepte!AR145</f>
        <v>0</v>
      </c>
      <c r="R145">
        <f>'Übersicht Score Index'!H145*Rezepte!AP145</f>
        <v>0</v>
      </c>
      <c r="S145">
        <f>'Übersicht Score Index'!H145*Rezepte!AQ145</f>
        <v>0</v>
      </c>
      <c r="T145">
        <f>'Übersicht Score Index'!H145*Rezepte!AR145</f>
        <v>0</v>
      </c>
      <c r="U145">
        <f>'Übersicht Score Index'!I145*Rezepte!AP145</f>
        <v>0</v>
      </c>
      <c r="V145">
        <f>'Übersicht Score Index'!I145*Rezepte!AQ145</f>
        <v>0</v>
      </c>
      <c r="W145">
        <f>'Übersicht Score Index'!I145*Rezepte!AR145</f>
        <v>0</v>
      </c>
    </row>
    <row r="146" spans="1:23" x14ac:dyDescent="0.3">
      <c r="A146" s="2" t="s">
        <v>296</v>
      </c>
      <c r="B146" s="2" t="s">
        <v>297</v>
      </c>
      <c r="C146">
        <f>'Übersicht Score Index'!C146*Rezepte!AP146</f>
        <v>0</v>
      </c>
      <c r="D146">
        <f>'Übersicht Score Index'!C146*Rezepte!AQ146</f>
        <v>0</v>
      </c>
      <c r="E146">
        <f>'Übersicht Score Index'!C146*Rezepte!AR146</f>
        <v>0</v>
      </c>
      <c r="F146">
        <f>'Übersicht Score Index'!D146*Rezepte!AP146</f>
        <v>0</v>
      </c>
      <c r="G146">
        <f>'Übersicht Score Index'!D146*Rezepte!AQ146</f>
        <v>0</v>
      </c>
      <c r="H146">
        <f>'Übersicht Score Index'!D146*Rezepte!AR146</f>
        <v>0</v>
      </c>
      <c r="I146">
        <f>'Übersicht Score Index'!E146*Rezepte!AP146</f>
        <v>0</v>
      </c>
      <c r="J146">
        <f>'Übersicht Score Index'!E146*Rezepte!AQ146</f>
        <v>0</v>
      </c>
      <c r="K146">
        <f>'Übersicht Score Index'!E146*Rezepte!AR146</f>
        <v>0</v>
      </c>
      <c r="L146">
        <f>'Übersicht Score Index'!F146*Rezepte!AP146</f>
        <v>0</v>
      </c>
      <c r="M146">
        <f>'Übersicht Score Index'!F146*Rezepte!AQ146</f>
        <v>0</v>
      </c>
      <c r="N146">
        <f>'Übersicht Score Index'!F146*Rezepte!AR146</f>
        <v>0</v>
      </c>
      <c r="O146">
        <f>'Übersicht Score Index'!G146*Rezepte!AP146</f>
        <v>0</v>
      </c>
      <c r="P146">
        <f>'Übersicht Score Index'!G146*Rezepte!AQ146</f>
        <v>0</v>
      </c>
      <c r="Q146">
        <f>'Übersicht Score Index'!G146*Rezepte!AR146</f>
        <v>0</v>
      </c>
      <c r="R146">
        <f>'Übersicht Score Index'!H146*Rezepte!AP146</f>
        <v>0</v>
      </c>
      <c r="S146">
        <f>'Übersicht Score Index'!H146*Rezepte!AQ146</f>
        <v>0</v>
      </c>
      <c r="T146">
        <f>'Übersicht Score Index'!H146*Rezepte!AR146</f>
        <v>0</v>
      </c>
      <c r="U146">
        <f>'Übersicht Score Index'!I146*Rezepte!AP146</f>
        <v>0</v>
      </c>
      <c r="V146">
        <f>'Übersicht Score Index'!I146*Rezepte!AQ146</f>
        <v>0</v>
      </c>
      <c r="W146">
        <f>'Übersicht Score Index'!I146*Rezepte!AR146</f>
        <v>0</v>
      </c>
    </row>
    <row r="147" spans="1:23" x14ac:dyDescent="0.3">
      <c r="A147" s="2" t="s">
        <v>298</v>
      </c>
      <c r="B147" s="2" t="s">
        <v>299</v>
      </c>
      <c r="C147">
        <f>'Übersicht Score Index'!C147*Rezepte!AP147</f>
        <v>0</v>
      </c>
      <c r="D147">
        <f>'Übersicht Score Index'!C147*Rezepte!AQ147</f>
        <v>0</v>
      </c>
      <c r="E147">
        <f>'Übersicht Score Index'!C147*Rezepte!AR147</f>
        <v>0</v>
      </c>
      <c r="F147">
        <f>'Übersicht Score Index'!D147*Rezepte!AP147</f>
        <v>0</v>
      </c>
      <c r="G147">
        <f>'Übersicht Score Index'!D147*Rezepte!AQ147</f>
        <v>0</v>
      </c>
      <c r="H147">
        <f>'Übersicht Score Index'!D147*Rezepte!AR147</f>
        <v>0</v>
      </c>
      <c r="I147">
        <f>'Übersicht Score Index'!E147*Rezepte!AP147</f>
        <v>0</v>
      </c>
      <c r="J147">
        <f>'Übersicht Score Index'!E147*Rezepte!AQ147</f>
        <v>0</v>
      </c>
      <c r="K147">
        <f>'Übersicht Score Index'!E147*Rezepte!AR147</f>
        <v>0</v>
      </c>
      <c r="L147">
        <f>'Übersicht Score Index'!F147*Rezepte!AP147</f>
        <v>0</v>
      </c>
      <c r="M147">
        <f>'Übersicht Score Index'!F147*Rezepte!AQ147</f>
        <v>0</v>
      </c>
      <c r="N147">
        <f>'Übersicht Score Index'!F147*Rezepte!AR147</f>
        <v>0</v>
      </c>
      <c r="O147">
        <f>'Übersicht Score Index'!G147*Rezepte!AP147</f>
        <v>0</v>
      </c>
      <c r="P147">
        <f>'Übersicht Score Index'!G147*Rezepte!AQ147</f>
        <v>0</v>
      </c>
      <c r="Q147">
        <f>'Übersicht Score Index'!G147*Rezepte!AR147</f>
        <v>0</v>
      </c>
      <c r="R147">
        <f>'Übersicht Score Index'!H147*Rezepte!AP147</f>
        <v>0</v>
      </c>
      <c r="S147">
        <f>'Übersicht Score Index'!H147*Rezepte!AQ147</f>
        <v>0</v>
      </c>
      <c r="T147">
        <f>'Übersicht Score Index'!H147*Rezepte!AR147</f>
        <v>0</v>
      </c>
      <c r="U147">
        <f>'Übersicht Score Index'!I147*Rezepte!AP147</f>
        <v>0</v>
      </c>
      <c r="V147">
        <f>'Übersicht Score Index'!I147*Rezepte!AQ147</f>
        <v>0</v>
      </c>
      <c r="W147">
        <f>'Übersicht Score Index'!I147*Rezepte!AR147</f>
        <v>0</v>
      </c>
    </row>
    <row r="148" spans="1:23" x14ac:dyDescent="0.3">
      <c r="A148" s="2" t="s">
        <v>300</v>
      </c>
      <c r="B148" s="2" t="s">
        <v>301</v>
      </c>
      <c r="C148">
        <f>'Übersicht Score Index'!C148*Rezepte!AP148</f>
        <v>0</v>
      </c>
      <c r="D148">
        <f>'Übersicht Score Index'!C148*Rezepte!AQ148</f>
        <v>0</v>
      </c>
      <c r="E148">
        <f>'Übersicht Score Index'!C148*Rezepte!AR148</f>
        <v>0</v>
      </c>
      <c r="F148">
        <f>'Übersicht Score Index'!D148*Rezepte!AP148</f>
        <v>0</v>
      </c>
      <c r="G148">
        <f>'Übersicht Score Index'!D148*Rezepte!AQ148</f>
        <v>0</v>
      </c>
      <c r="H148">
        <f>'Übersicht Score Index'!D148*Rezepte!AR148</f>
        <v>0</v>
      </c>
      <c r="I148">
        <f>'Übersicht Score Index'!E148*Rezepte!AP148</f>
        <v>0</v>
      </c>
      <c r="J148">
        <f>'Übersicht Score Index'!E148*Rezepte!AQ148</f>
        <v>0</v>
      </c>
      <c r="K148">
        <f>'Übersicht Score Index'!E148*Rezepte!AR148</f>
        <v>0</v>
      </c>
      <c r="L148">
        <f>'Übersicht Score Index'!F148*Rezepte!AP148</f>
        <v>0</v>
      </c>
      <c r="M148">
        <f>'Übersicht Score Index'!F148*Rezepte!AQ148</f>
        <v>0</v>
      </c>
      <c r="N148">
        <f>'Übersicht Score Index'!F148*Rezepte!AR148</f>
        <v>0</v>
      </c>
      <c r="O148">
        <f>'Übersicht Score Index'!G148*Rezepte!AP148</f>
        <v>0</v>
      </c>
      <c r="P148">
        <f>'Übersicht Score Index'!G148*Rezepte!AQ148</f>
        <v>0</v>
      </c>
      <c r="Q148">
        <f>'Übersicht Score Index'!G148*Rezepte!AR148</f>
        <v>0</v>
      </c>
      <c r="R148">
        <f>'Übersicht Score Index'!H148*Rezepte!AP148</f>
        <v>0</v>
      </c>
      <c r="S148">
        <f>'Übersicht Score Index'!H148*Rezepte!AQ148</f>
        <v>0</v>
      </c>
      <c r="T148">
        <f>'Übersicht Score Index'!H148*Rezepte!AR148</f>
        <v>0</v>
      </c>
      <c r="U148">
        <f>'Übersicht Score Index'!I148*Rezepte!AP148</f>
        <v>0</v>
      </c>
      <c r="V148">
        <f>'Übersicht Score Index'!I148*Rezepte!AQ148</f>
        <v>0</v>
      </c>
      <c r="W148">
        <f>'Übersicht Score Index'!I148*Rezepte!AR148</f>
        <v>0</v>
      </c>
    </row>
    <row r="149" spans="1:23" x14ac:dyDescent="0.3">
      <c r="A149" s="2" t="s">
        <v>302</v>
      </c>
      <c r="B149" s="2" t="s">
        <v>303</v>
      </c>
      <c r="C149">
        <f>'Übersicht Score Index'!C149*Rezepte!AP149</f>
        <v>0</v>
      </c>
      <c r="D149">
        <f>'Übersicht Score Index'!C149*Rezepte!AQ149</f>
        <v>0</v>
      </c>
      <c r="E149">
        <f>'Übersicht Score Index'!C149*Rezepte!AR149</f>
        <v>0</v>
      </c>
      <c r="F149">
        <f>'Übersicht Score Index'!D149*Rezepte!AP149</f>
        <v>0</v>
      </c>
      <c r="G149">
        <f>'Übersicht Score Index'!D149*Rezepte!AQ149</f>
        <v>0</v>
      </c>
      <c r="H149">
        <f>'Übersicht Score Index'!D149*Rezepte!AR149</f>
        <v>0</v>
      </c>
      <c r="I149">
        <f>'Übersicht Score Index'!E149*Rezepte!AP149</f>
        <v>0</v>
      </c>
      <c r="J149">
        <f>'Übersicht Score Index'!E149*Rezepte!AQ149</f>
        <v>0</v>
      </c>
      <c r="K149">
        <f>'Übersicht Score Index'!E149*Rezepte!AR149</f>
        <v>0</v>
      </c>
      <c r="L149">
        <f>'Übersicht Score Index'!F149*Rezepte!AP149</f>
        <v>0</v>
      </c>
      <c r="M149">
        <f>'Übersicht Score Index'!F149*Rezepte!AQ149</f>
        <v>0</v>
      </c>
      <c r="N149">
        <f>'Übersicht Score Index'!F149*Rezepte!AR149</f>
        <v>0</v>
      </c>
      <c r="O149">
        <f>'Übersicht Score Index'!G149*Rezepte!AP149</f>
        <v>0</v>
      </c>
      <c r="P149">
        <f>'Übersicht Score Index'!G149*Rezepte!AQ149</f>
        <v>0</v>
      </c>
      <c r="Q149">
        <f>'Übersicht Score Index'!G149*Rezepte!AR149</f>
        <v>0</v>
      </c>
      <c r="R149">
        <f>'Übersicht Score Index'!H149*Rezepte!AP149</f>
        <v>0</v>
      </c>
      <c r="S149">
        <f>'Übersicht Score Index'!H149*Rezepte!AQ149</f>
        <v>0</v>
      </c>
      <c r="T149">
        <f>'Übersicht Score Index'!H149*Rezepte!AR149</f>
        <v>0</v>
      </c>
      <c r="U149">
        <f>'Übersicht Score Index'!I149*Rezepte!AP149</f>
        <v>0</v>
      </c>
      <c r="V149">
        <f>'Übersicht Score Index'!I149*Rezepte!AQ149</f>
        <v>0</v>
      </c>
      <c r="W149">
        <f>'Übersicht Score Index'!I149*Rezepte!AR149</f>
        <v>0</v>
      </c>
    </row>
    <row r="150" spans="1:23" x14ac:dyDescent="0.3">
      <c r="A150" s="2" t="s">
        <v>304</v>
      </c>
      <c r="B150" s="2" t="s">
        <v>305</v>
      </c>
      <c r="C150">
        <f>'Übersicht Score Index'!C150*Rezepte!AP150</f>
        <v>0</v>
      </c>
      <c r="D150">
        <f>'Übersicht Score Index'!C150*Rezepte!AQ150</f>
        <v>0</v>
      </c>
      <c r="E150">
        <f>'Übersicht Score Index'!C150*Rezepte!AR150</f>
        <v>0</v>
      </c>
      <c r="F150">
        <f>'Übersicht Score Index'!D150*Rezepte!AP150</f>
        <v>0</v>
      </c>
      <c r="G150">
        <f>'Übersicht Score Index'!D150*Rezepte!AQ150</f>
        <v>0</v>
      </c>
      <c r="H150">
        <f>'Übersicht Score Index'!D150*Rezepte!AR150</f>
        <v>0</v>
      </c>
      <c r="I150">
        <f>'Übersicht Score Index'!E150*Rezepte!AP150</f>
        <v>0</v>
      </c>
      <c r="J150">
        <f>'Übersicht Score Index'!E150*Rezepte!AQ150</f>
        <v>0</v>
      </c>
      <c r="K150">
        <f>'Übersicht Score Index'!E150*Rezepte!AR150</f>
        <v>0</v>
      </c>
      <c r="L150">
        <f>'Übersicht Score Index'!F150*Rezepte!AP150</f>
        <v>0</v>
      </c>
      <c r="M150">
        <f>'Übersicht Score Index'!F150*Rezepte!AQ150</f>
        <v>0</v>
      </c>
      <c r="N150">
        <f>'Übersicht Score Index'!F150*Rezepte!AR150</f>
        <v>0</v>
      </c>
      <c r="O150">
        <f>'Übersicht Score Index'!G150*Rezepte!AP150</f>
        <v>0</v>
      </c>
      <c r="P150">
        <f>'Übersicht Score Index'!G150*Rezepte!AQ150</f>
        <v>0</v>
      </c>
      <c r="Q150">
        <f>'Übersicht Score Index'!G150*Rezepte!AR150</f>
        <v>0</v>
      </c>
      <c r="R150">
        <f>'Übersicht Score Index'!H150*Rezepte!AP150</f>
        <v>0</v>
      </c>
      <c r="S150">
        <f>'Übersicht Score Index'!H150*Rezepte!AQ150</f>
        <v>0</v>
      </c>
      <c r="T150">
        <f>'Übersicht Score Index'!H150*Rezepte!AR150</f>
        <v>0</v>
      </c>
      <c r="U150">
        <f>'Übersicht Score Index'!I150*Rezepte!AP150</f>
        <v>0</v>
      </c>
      <c r="V150">
        <f>'Übersicht Score Index'!I150*Rezepte!AQ150</f>
        <v>0</v>
      </c>
      <c r="W150">
        <f>'Übersicht Score Index'!I150*Rezepte!AR150</f>
        <v>0</v>
      </c>
    </row>
    <row r="151" spans="1:23" x14ac:dyDescent="0.3">
      <c r="A151" s="2" t="s">
        <v>306</v>
      </c>
      <c r="B151" s="2" t="s">
        <v>307</v>
      </c>
      <c r="C151">
        <f>'Übersicht Score Index'!C151*Rezepte!AP151</f>
        <v>0</v>
      </c>
      <c r="D151">
        <f>'Übersicht Score Index'!C151*Rezepte!AQ151</f>
        <v>0</v>
      </c>
      <c r="E151">
        <f>'Übersicht Score Index'!C151*Rezepte!AR151</f>
        <v>0</v>
      </c>
      <c r="F151">
        <f>'Übersicht Score Index'!D151*Rezepte!AP151</f>
        <v>0</v>
      </c>
      <c r="G151">
        <f>'Übersicht Score Index'!D151*Rezepte!AQ151</f>
        <v>0</v>
      </c>
      <c r="H151">
        <f>'Übersicht Score Index'!D151*Rezepte!AR151</f>
        <v>0</v>
      </c>
      <c r="I151">
        <f>'Übersicht Score Index'!E151*Rezepte!AP151</f>
        <v>0</v>
      </c>
      <c r="J151">
        <f>'Übersicht Score Index'!E151*Rezepte!AQ151</f>
        <v>0</v>
      </c>
      <c r="K151">
        <f>'Übersicht Score Index'!E151*Rezepte!AR151</f>
        <v>0</v>
      </c>
      <c r="L151">
        <f>'Übersicht Score Index'!F151*Rezepte!AP151</f>
        <v>0</v>
      </c>
      <c r="M151">
        <f>'Übersicht Score Index'!F151*Rezepte!AQ151</f>
        <v>0</v>
      </c>
      <c r="N151">
        <f>'Übersicht Score Index'!F151*Rezepte!AR151</f>
        <v>0</v>
      </c>
      <c r="O151">
        <f>'Übersicht Score Index'!G151*Rezepte!AP151</f>
        <v>0</v>
      </c>
      <c r="P151">
        <f>'Übersicht Score Index'!G151*Rezepte!AQ151</f>
        <v>0</v>
      </c>
      <c r="Q151">
        <f>'Übersicht Score Index'!G151*Rezepte!AR151</f>
        <v>0</v>
      </c>
      <c r="R151">
        <f>'Übersicht Score Index'!H151*Rezepte!AP151</f>
        <v>0</v>
      </c>
      <c r="S151">
        <f>'Übersicht Score Index'!H151*Rezepte!AQ151</f>
        <v>0</v>
      </c>
      <c r="T151">
        <f>'Übersicht Score Index'!H151*Rezepte!AR151</f>
        <v>0</v>
      </c>
      <c r="U151">
        <f>'Übersicht Score Index'!I151*Rezepte!AP151</f>
        <v>0</v>
      </c>
      <c r="V151">
        <f>'Übersicht Score Index'!I151*Rezepte!AQ151</f>
        <v>0</v>
      </c>
      <c r="W151">
        <f>'Übersicht Score Index'!I151*Rezepte!AR151</f>
        <v>0</v>
      </c>
    </row>
    <row r="152" spans="1:23" x14ac:dyDescent="0.3">
      <c r="A152" s="2" t="s">
        <v>308</v>
      </c>
      <c r="B152" s="2" t="s">
        <v>309</v>
      </c>
      <c r="C152">
        <f>'Übersicht Score Index'!C152*Rezepte!AP152</f>
        <v>0</v>
      </c>
      <c r="D152">
        <f>'Übersicht Score Index'!C152*Rezepte!AQ152</f>
        <v>0</v>
      </c>
      <c r="E152">
        <f>'Übersicht Score Index'!C152*Rezepte!AR152</f>
        <v>0</v>
      </c>
      <c r="F152">
        <f>'Übersicht Score Index'!D152*Rezepte!AP152</f>
        <v>0</v>
      </c>
      <c r="G152">
        <f>'Übersicht Score Index'!D152*Rezepte!AQ152</f>
        <v>0</v>
      </c>
      <c r="H152">
        <f>'Übersicht Score Index'!D152*Rezepte!AR152</f>
        <v>0</v>
      </c>
      <c r="I152">
        <f>'Übersicht Score Index'!E152*Rezepte!AP152</f>
        <v>0</v>
      </c>
      <c r="J152">
        <f>'Übersicht Score Index'!E152*Rezepte!AQ152</f>
        <v>0</v>
      </c>
      <c r="K152">
        <f>'Übersicht Score Index'!E152*Rezepte!AR152</f>
        <v>0</v>
      </c>
      <c r="L152">
        <f>'Übersicht Score Index'!F152*Rezepte!AP152</f>
        <v>0</v>
      </c>
      <c r="M152">
        <f>'Übersicht Score Index'!F152*Rezepte!AQ152</f>
        <v>0</v>
      </c>
      <c r="N152">
        <f>'Übersicht Score Index'!F152*Rezepte!AR152</f>
        <v>0</v>
      </c>
      <c r="O152">
        <f>'Übersicht Score Index'!G152*Rezepte!AP152</f>
        <v>0</v>
      </c>
      <c r="P152">
        <f>'Übersicht Score Index'!G152*Rezepte!AQ152</f>
        <v>0</v>
      </c>
      <c r="Q152">
        <f>'Übersicht Score Index'!G152*Rezepte!AR152</f>
        <v>0</v>
      </c>
      <c r="R152">
        <f>'Übersicht Score Index'!H152*Rezepte!AP152</f>
        <v>0</v>
      </c>
      <c r="S152">
        <f>'Übersicht Score Index'!H152*Rezepte!AQ152</f>
        <v>0</v>
      </c>
      <c r="T152">
        <f>'Übersicht Score Index'!H152*Rezepte!AR152</f>
        <v>0</v>
      </c>
      <c r="U152">
        <f>'Übersicht Score Index'!I152*Rezepte!AP152</f>
        <v>0</v>
      </c>
      <c r="V152">
        <f>'Übersicht Score Index'!I152*Rezepte!AQ152</f>
        <v>0</v>
      </c>
      <c r="W152">
        <f>'Übersicht Score Index'!I152*Rezepte!AR152</f>
        <v>0</v>
      </c>
    </row>
    <row r="153" spans="1:23" x14ac:dyDescent="0.3">
      <c r="A153" s="2" t="s">
        <v>310</v>
      </c>
      <c r="B153" s="2" t="s">
        <v>311</v>
      </c>
      <c r="C153">
        <f>'Übersicht Score Index'!C153*Rezepte!AP153</f>
        <v>0</v>
      </c>
      <c r="D153">
        <f>'Übersicht Score Index'!C153*Rezepte!AQ153</f>
        <v>0</v>
      </c>
      <c r="E153">
        <f>'Übersicht Score Index'!C153*Rezepte!AR153</f>
        <v>0</v>
      </c>
      <c r="F153">
        <f>'Übersicht Score Index'!D153*Rezepte!AP153</f>
        <v>0</v>
      </c>
      <c r="G153">
        <f>'Übersicht Score Index'!D153*Rezepte!AQ153</f>
        <v>0</v>
      </c>
      <c r="H153">
        <f>'Übersicht Score Index'!D153*Rezepte!AR153</f>
        <v>0</v>
      </c>
      <c r="I153">
        <f>'Übersicht Score Index'!E153*Rezepte!AP153</f>
        <v>0</v>
      </c>
      <c r="J153">
        <f>'Übersicht Score Index'!E153*Rezepte!AQ153</f>
        <v>0</v>
      </c>
      <c r="K153">
        <f>'Übersicht Score Index'!E153*Rezepte!AR153</f>
        <v>0</v>
      </c>
      <c r="L153">
        <f>'Übersicht Score Index'!F153*Rezepte!AP153</f>
        <v>0</v>
      </c>
      <c r="M153">
        <f>'Übersicht Score Index'!F153*Rezepte!AQ153</f>
        <v>0</v>
      </c>
      <c r="N153">
        <f>'Übersicht Score Index'!F153*Rezepte!AR153</f>
        <v>0</v>
      </c>
      <c r="O153">
        <f>'Übersicht Score Index'!G153*Rezepte!AP153</f>
        <v>0</v>
      </c>
      <c r="P153">
        <f>'Übersicht Score Index'!G153*Rezepte!AQ153</f>
        <v>0</v>
      </c>
      <c r="Q153">
        <f>'Übersicht Score Index'!G153*Rezepte!AR153</f>
        <v>0</v>
      </c>
      <c r="R153">
        <f>'Übersicht Score Index'!H153*Rezepte!AP153</f>
        <v>0</v>
      </c>
      <c r="S153">
        <f>'Übersicht Score Index'!H153*Rezepte!AQ153</f>
        <v>0</v>
      </c>
      <c r="T153">
        <f>'Übersicht Score Index'!H153*Rezepte!AR153</f>
        <v>0</v>
      </c>
      <c r="U153">
        <f>'Übersicht Score Index'!I153*Rezepte!AP153</f>
        <v>0</v>
      </c>
      <c r="V153">
        <f>'Übersicht Score Index'!I153*Rezepte!AQ153</f>
        <v>0</v>
      </c>
      <c r="W153">
        <f>'Übersicht Score Index'!I153*Rezepte!AR153</f>
        <v>0</v>
      </c>
    </row>
    <row r="154" spans="1:23" x14ac:dyDescent="0.3">
      <c r="A154" s="2" t="s">
        <v>312</v>
      </c>
      <c r="B154" s="2" t="s">
        <v>313</v>
      </c>
      <c r="C154">
        <f>'Übersicht Score Index'!C154*Rezepte!AP154</f>
        <v>0</v>
      </c>
      <c r="D154">
        <f>'Übersicht Score Index'!C154*Rezepte!AQ154</f>
        <v>0</v>
      </c>
      <c r="E154">
        <f>'Übersicht Score Index'!C154*Rezepte!AR154</f>
        <v>0</v>
      </c>
      <c r="F154">
        <f>'Übersicht Score Index'!D154*Rezepte!AP154</f>
        <v>0</v>
      </c>
      <c r="G154">
        <f>'Übersicht Score Index'!D154*Rezepte!AQ154</f>
        <v>0</v>
      </c>
      <c r="H154">
        <f>'Übersicht Score Index'!D154*Rezepte!AR154</f>
        <v>0</v>
      </c>
      <c r="I154">
        <f>'Übersicht Score Index'!E154*Rezepte!AP154</f>
        <v>0</v>
      </c>
      <c r="J154">
        <f>'Übersicht Score Index'!E154*Rezepte!AQ154</f>
        <v>0</v>
      </c>
      <c r="K154">
        <f>'Übersicht Score Index'!E154*Rezepte!AR154</f>
        <v>0</v>
      </c>
      <c r="L154">
        <f>'Übersicht Score Index'!F154*Rezepte!AP154</f>
        <v>0</v>
      </c>
      <c r="M154">
        <f>'Übersicht Score Index'!F154*Rezepte!AQ154</f>
        <v>0</v>
      </c>
      <c r="N154">
        <f>'Übersicht Score Index'!F154*Rezepte!AR154</f>
        <v>0</v>
      </c>
      <c r="O154">
        <f>'Übersicht Score Index'!G154*Rezepte!AP154</f>
        <v>0</v>
      </c>
      <c r="P154">
        <f>'Übersicht Score Index'!G154*Rezepte!AQ154</f>
        <v>0</v>
      </c>
      <c r="Q154">
        <f>'Übersicht Score Index'!G154*Rezepte!AR154</f>
        <v>0</v>
      </c>
      <c r="R154">
        <f>'Übersicht Score Index'!H154*Rezepte!AP154</f>
        <v>0</v>
      </c>
      <c r="S154">
        <f>'Übersicht Score Index'!H154*Rezepte!AQ154</f>
        <v>0</v>
      </c>
      <c r="T154">
        <f>'Übersicht Score Index'!H154*Rezepte!AR154</f>
        <v>0</v>
      </c>
      <c r="U154">
        <f>'Übersicht Score Index'!I154*Rezepte!AP154</f>
        <v>0</v>
      </c>
      <c r="V154">
        <f>'Übersicht Score Index'!I154*Rezepte!AQ154</f>
        <v>0</v>
      </c>
      <c r="W154">
        <f>'Übersicht Score Index'!I154*Rezepte!AR154</f>
        <v>0</v>
      </c>
    </row>
    <row r="155" spans="1:23" x14ac:dyDescent="0.3">
      <c r="A155" s="2" t="s">
        <v>314</v>
      </c>
      <c r="B155" s="2" t="s">
        <v>315</v>
      </c>
      <c r="C155">
        <f>'Übersicht Score Index'!C155*Rezepte!AP155</f>
        <v>0</v>
      </c>
      <c r="D155">
        <f>'Übersicht Score Index'!C155*Rezepte!AQ155</f>
        <v>0</v>
      </c>
      <c r="E155">
        <f>'Übersicht Score Index'!C155*Rezepte!AR155</f>
        <v>0</v>
      </c>
      <c r="F155">
        <f>'Übersicht Score Index'!D155*Rezepte!AP155</f>
        <v>0</v>
      </c>
      <c r="G155">
        <f>'Übersicht Score Index'!D155*Rezepte!AQ155</f>
        <v>0</v>
      </c>
      <c r="H155">
        <f>'Übersicht Score Index'!D155*Rezepte!AR155</f>
        <v>0</v>
      </c>
      <c r="I155">
        <f>'Übersicht Score Index'!E155*Rezepte!AP155</f>
        <v>0</v>
      </c>
      <c r="J155">
        <f>'Übersicht Score Index'!E155*Rezepte!AQ155</f>
        <v>0</v>
      </c>
      <c r="K155">
        <f>'Übersicht Score Index'!E155*Rezepte!AR155</f>
        <v>0</v>
      </c>
      <c r="L155">
        <f>'Übersicht Score Index'!F155*Rezepte!AP155</f>
        <v>2.1022727272727269E-2</v>
      </c>
      <c r="M155">
        <f>'Übersicht Score Index'!F155*Rezepte!AQ155</f>
        <v>1.0511363636363635E-2</v>
      </c>
      <c r="N155">
        <f>'Übersicht Score Index'!F155*Rezepte!AR155</f>
        <v>1.0511363636363635E-2</v>
      </c>
      <c r="O155">
        <f>'Übersicht Score Index'!G155*Rezepte!AP155</f>
        <v>0</v>
      </c>
      <c r="P155">
        <f>'Übersicht Score Index'!G155*Rezepte!AQ155</f>
        <v>0</v>
      </c>
      <c r="Q155">
        <f>'Übersicht Score Index'!G155*Rezepte!AR155</f>
        <v>0</v>
      </c>
      <c r="R155">
        <f>'Übersicht Score Index'!H155*Rezepte!AP155</f>
        <v>0</v>
      </c>
      <c r="S155">
        <f>'Übersicht Score Index'!H155*Rezepte!AQ155</f>
        <v>0</v>
      </c>
      <c r="T155">
        <f>'Übersicht Score Index'!H155*Rezepte!AR155</f>
        <v>0</v>
      </c>
      <c r="U155">
        <f>'Übersicht Score Index'!I155*Rezepte!AP155</f>
        <v>0</v>
      </c>
      <c r="V155">
        <f>'Übersicht Score Index'!I155*Rezepte!AQ155</f>
        <v>0</v>
      </c>
      <c r="W155">
        <f>'Übersicht Score Index'!I155*Rezepte!AR155</f>
        <v>0</v>
      </c>
    </row>
    <row r="156" spans="1:23" x14ac:dyDescent="0.3">
      <c r="A156" s="2" t="s">
        <v>316</v>
      </c>
      <c r="B156" s="2" t="s">
        <v>317</v>
      </c>
      <c r="C156">
        <f>'Übersicht Score Index'!C156*Rezepte!AP156</f>
        <v>0</v>
      </c>
      <c r="D156">
        <f>'Übersicht Score Index'!C156*Rezepte!AQ156</f>
        <v>0</v>
      </c>
      <c r="E156">
        <f>'Übersicht Score Index'!C156*Rezepte!AR156</f>
        <v>0</v>
      </c>
      <c r="F156">
        <f>'Übersicht Score Index'!D156*Rezepte!AP156</f>
        <v>0</v>
      </c>
      <c r="G156">
        <f>'Übersicht Score Index'!D156*Rezepte!AQ156</f>
        <v>0</v>
      </c>
      <c r="H156">
        <f>'Übersicht Score Index'!D156*Rezepte!AR156</f>
        <v>0</v>
      </c>
      <c r="I156">
        <f>'Übersicht Score Index'!E156*Rezepte!AP156</f>
        <v>0</v>
      </c>
      <c r="J156">
        <f>'Übersicht Score Index'!E156*Rezepte!AQ156</f>
        <v>0</v>
      </c>
      <c r="K156">
        <f>'Übersicht Score Index'!E156*Rezepte!AR156</f>
        <v>0</v>
      </c>
      <c r="L156">
        <f>'Übersicht Score Index'!F156*Rezepte!AP156</f>
        <v>0</v>
      </c>
      <c r="M156">
        <f>'Übersicht Score Index'!F156*Rezepte!AQ156</f>
        <v>0</v>
      </c>
      <c r="N156">
        <f>'Übersicht Score Index'!F156*Rezepte!AR156</f>
        <v>0</v>
      </c>
      <c r="O156">
        <f>'Übersicht Score Index'!G156*Rezepte!AP156</f>
        <v>0</v>
      </c>
      <c r="P156">
        <f>'Übersicht Score Index'!G156*Rezepte!AQ156</f>
        <v>0</v>
      </c>
      <c r="Q156">
        <f>'Übersicht Score Index'!G156*Rezepte!AR156</f>
        <v>0</v>
      </c>
      <c r="R156">
        <f>'Übersicht Score Index'!H156*Rezepte!AP156</f>
        <v>0</v>
      </c>
      <c r="S156">
        <f>'Übersicht Score Index'!H156*Rezepte!AQ156</f>
        <v>0</v>
      </c>
      <c r="T156">
        <f>'Übersicht Score Index'!H156*Rezepte!AR156</f>
        <v>0</v>
      </c>
      <c r="U156">
        <f>'Übersicht Score Index'!I156*Rezepte!AP156</f>
        <v>0</v>
      </c>
      <c r="V156">
        <f>'Übersicht Score Index'!I156*Rezepte!AQ156</f>
        <v>0</v>
      </c>
      <c r="W156">
        <f>'Übersicht Score Index'!I156*Rezepte!AR156</f>
        <v>0</v>
      </c>
    </row>
    <row r="157" spans="1:23" x14ac:dyDescent="0.3">
      <c r="A157" s="2" t="s">
        <v>318</v>
      </c>
      <c r="B157" s="2" t="s">
        <v>319</v>
      </c>
      <c r="C157">
        <f>'Übersicht Score Index'!C157*Rezepte!AP157</f>
        <v>0</v>
      </c>
      <c r="D157">
        <f>'Übersicht Score Index'!C157*Rezepte!AQ157</f>
        <v>0</v>
      </c>
      <c r="E157">
        <f>'Übersicht Score Index'!C157*Rezepte!AR157</f>
        <v>0</v>
      </c>
      <c r="F157">
        <f>'Übersicht Score Index'!D157*Rezepte!AP157</f>
        <v>0</v>
      </c>
      <c r="G157">
        <f>'Übersicht Score Index'!D157*Rezepte!AQ157</f>
        <v>0</v>
      </c>
      <c r="H157">
        <f>'Übersicht Score Index'!D157*Rezepte!AR157</f>
        <v>0</v>
      </c>
      <c r="I157">
        <f>'Übersicht Score Index'!E157*Rezepte!AP157</f>
        <v>0</v>
      </c>
      <c r="J157">
        <f>'Übersicht Score Index'!E157*Rezepte!AQ157</f>
        <v>0</v>
      </c>
      <c r="K157">
        <f>'Übersicht Score Index'!E157*Rezepte!AR157</f>
        <v>0</v>
      </c>
      <c r="L157">
        <f>'Übersicht Score Index'!F157*Rezepte!AP157</f>
        <v>0</v>
      </c>
      <c r="M157">
        <f>'Übersicht Score Index'!F157*Rezepte!AQ157</f>
        <v>0</v>
      </c>
      <c r="N157">
        <f>'Übersicht Score Index'!F157*Rezepte!AR157</f>
        <v>0</v>
      </c>
      <c r="O157">
        <f>'Übersicht Score Index'!G157*Rezepte!AP157</f>
        <v>0</v>
      </c>
      <c r="P157">
        <f>'Übersicht Score Index'!G157*Rezepte!AQ157</f>
        <v>0</v>
      </c>
      <c r="Q157">
        <f>'Übersicht Score Index'!G157*Rezepte!AR157</f>
        <v>0</v>
      </c>
      <c r="R157">
        <f>'Übersicht Score Index'!H157*Rezepte!AP157</f>
        <v>0</v>
      </c>
      <c r="S157">
        <f>'Übersicht Score Index'!H157*Rezepte!AQ157</f>
        <v>0</v>
      </c>
      <c r="T157">
        <f>'Übersicht Score Index'!H157*Rezepte!AR157</f>
        <v>0</v>
      </c>
      <c r="U157">
        <f>'Übersicht Score Index'!I157*Rezepte!AP157</f>
        <v>0</v>
      </c>
      <c r="V157">
        <f>'Übersicht Score Index'!I157*Rezepte!AQ157</f>
        <v>0</v>
      </c>
      <c r="W157">
        <f>'Übersicht Score Index'!I157*Rezepte!AR157</f>
        <v>0</v>
      </c>
    </row>
    <row r="158" spans="1:23" x14ac:dyDescent="0.3">
      <c r="A158" s="2" t="s">
        <v>320</v>
      </c>
      <c r="B158" s="2" t="s">
        <v>321</v>
      </c>
      <c r="C158">
        <f>'Übersicht Score Index'!C158*Rezepte!AP158</f>
        <v>0</v>
      </c>
      <c r="D158">
        <f>'Übersicht Score Index'!C158*Rezepte!AQ158</f>
        <v>0</v>
      </c>
      <c r="E158">
        <f>'Übersicht Score Index'!C158*Rezepte!AR158</f>
        <v>0</v>
      </c>
      <c r="F158">
        <f>'Übersicht Score Index'!D158*Rezepte!AP158</f>
        <v>0.16765923260972071</v>
      </c>
      <c r="G158">
        <f>'Übersicht Score Index'!D158*Rezepte!AQ158</f>
        <v>8.3829616304860355E-2</v>
      </c>
      <c r="H158">
        <f>'Übersicht Score Index'!D158*Rezepte!AR158</f>
        <v>8.3829616304860355E-2</v>
      </c>
      <c r="I158">
        <f>'Übersicht Score Index'!E158*Rezepte!AP158</f>
        <v>0</v>
      </c>
      <c r="J158">
        <f>'Übersicht Score Index'!E158*Rezepte!AQ158</f>
        <v>0</v>
      </c>
      <c r="K158">
        <f>'Übersicht Score Index'!E158*Rezepte!AR158</f>
        <v>0</v>
      </c>
      <c r="L158">
        <f>'Übersicht Score Index'!F158*Rezepte!AP158</f>
        <v>0</v>
      </c>
      <c r="M158">
        <f>'Übersicht Score Index'!F158*Rezepte!AQ158</f>
        <v>0</v>
      </c>
      <c r="N158">
        <f>'Übersicht Score Index'!F158*Rezepte!AR158</f>
        <v>0</v>
      </c>
      <c r="O158">
        <f>'Übersicht Score Index'!G158*Rezepte!AP158</f>
        <v>0</v>
      </c>
      <c r="P158">
        <f>'Übersicht Score Index'!G158*Rezepte!AQ158</f>
        <v>0</v>
      </c>
      <c r="Q158">
        <f>'Übersicht Score Index'!G158*Rezepte!AR158</f>
        <v>0</v>
      </c>
      <c r="R158">
        <f>'Übersicht Score Index'!H158*Rezepte!AP158</f>
        <v>0</v>
      </c>
      <c r="S158">
        <f>'Übersicht Score Index'!H158*Rezepte!AQ158</f>
        <v>0</v>
      </c>
      <c r="T158">
        <f>'Übersicht Score Index'!H158*Rezepte!AR158</f>
        <v>0</v>
      </c>
      <c r="U158">
        <f>'Übersicht Score Index'!I158*Rezepte!AP158</f>
        <v>0</v>
      </c>
      <c r="V158">
        <f>'Übersicht Score Index'!I158*Rezepte!AQ158</f>
        <v>0</v>
      </c>
      <c r="W158">
        <f>'Übersicht Score Index'!I158*Rezepte!AR158</f>
        <v>0</v>
      </c>
    </row>
    <row r="159" spans="1:23" x14ac:dyDescent="0.3">
      <c r="A159" s="2" t="s">
        <v>322</v>
      </c>
      <c r="B159" s="2" t="s">
        <v>323</v>
      </c>
      <c r="C159">
        <f>'Übersicht Score Index'!C159*Rezepte!AP159</f>
        <v>0</v>
      </c>
      <c r="D159">
        <f>'Übersicht Score Index'!C159*Rezepte!AQ159</f>
        <v>0</v>
      </c>
      <c r="E159">
        <f>'Übersicht Score Index'!C159*Rezepte!AR159</f>
        <v>0</v>
      </c>
      <c r="F159">
        <f>'Übersicht Score Index'!D159*Rezepte!AP159</f>
        <v>0</v>
      </c>
      <c r="G159">
        <f>'Übersicht Score Index'!D159*Rezepte!AQ159</f>
        <v>0</v>
      </c>
      <c r="H159">
        <f>'Übersicht Score Index'!D159*Rezepte!AR159</f>
        <v>0</v>
      </c>
      <c r="I159">
        <f>'Übersicht Score Index'!E159*Rezepte!AP159</f>
        <v>0</v>
      </c>
      <c r="J159">
        <f>'Übersicht Score Index'!E159*Rezepte!AQ159</f>
        <v>0</v>
      </c>
      <c r="K159">
        <f>'Übersicht Score Index'!E159*Rezepte!AR159</f>
        <v>0</v>
      </c>
      <c r="L159">
        <f>'Übersicht Score Index'!F159*Rezepte!AP159</f>
        <v>0</v>
      </c>
      <c r="M159">
        <f>'Übersicht Score Index'!F159*Rezepte!AQ159</f>
        <v>0</v>
      </c>
      <c r="N159">
        <f>'Übersicht Score Index'!F159*Rezepte!AR159</f>
        <v>0</v>
      </c>
      <c r="O159">
        <f>'Übersicht Score Index'!G159*Rezepte!AP159</f>
        <v>0</v>
      </c>
      <c r="P159">
        <f>'Übersicht Score Index'!G159*Rezepte!AQ159</f>
        <v>0</v>
      </c>
      <c r="Q159">
        <f>'Übersicht Score Index'!G159*Rezepte!AR159</f>
        <v>0</v>
      </c>
      <c r="R159">
        <f>'Übersicht Score Index'!H159*Rezepte!AP159</f>
        <v>0</v>
      </c>
      <c r="S159">
        <f>'Übersicht Score Index'!H159*Rezepte!AQ159</f>
        <v>0</v>
      </c>
      <c r="T159">
        <f>'Übersicht Score Index'!H159*Rezepte!AR159</f>
        <v>0</v>
      </c>
      <c r="U159">
        <f>'Übersicht Score Index'!I159*Rezepte!AP159</f>
        <v>0</v>
      </c>
      <c r="V159">
        <f>'Übersicht Score Index'!I159*Rezepte!AQ159</f>
        <v>0</v>
      </c>
      <c r="W159">
        <f>'Übersicht Score Index'!I159*Rezepte!AR159</f>
        <v>0</v>
      </c>
    </row>
    <row r="160" spans="1:23" x14ac:dyDescent="0.3">
      <c r="A160" s="2" t="s">
        <v>324</v>
      </c>
      <c r="B160" s="2" t="s">
        <v>325</v>
      </c>
      <c r="C160">
        <f>'Übersicht Score Index'!C160*Rezepte!AP160</f>
        <v>0</v>
      </c>
      <c r="D160">
        <f>'Übersicht Score Index'!C160*Rezepte!AQ160</f>
        <v>0</v>
      </c>
      <c r="E160">
        <f>'Übersicht Score Index'!C160*Rezepte!AR160</f>
        <v>0</v>
      </c>
      <c r="F160">
        <f>'Übersicht Score Index'!D160*Rezepte!AP160</f>
        <v>0</v>
      </c>
      <c r="G160">
        <f>'Übersicht Score Index'!D160*Rezepte!AQ160</f>
        <v>0</v>
      </c>
      <c r="H160">
        <f>'Übersicht Score Index'!D160*Rezepte!AR160</f>
        <v>0</v>
      </c>
      <c r="I160">
        <f>'Übersicht Score Index'!E160*Rezepte!AP160</f>
        <v>0</v>
      </c>
      <c r="J160">
        <f>'Übersicht Score Index'!E160*Rezepte!AQ160</f>
        <v>0</v>
      </c>
      <c r="K160">
        <f>'Übersicht Score Index'!E160*Rezepte!AR160</f>
        <v>0</v>
      </c>
      <c r="L160">
        <f>'Übersicht Score Index'!F160*Rezepte!AP160</f>
        <v>0</v>
      </c>
      <c r="M160">
        <f>'Übersicht Score Index'!F160*Rezepte!AQ160</f>
        <v>0</v>
      </c>
      <c r="N160">
        <f>'Übersicht Score Index'!F160*Rezepte!AR160</f>
        <v>0</v>
      </c>
      <c r="O160">
        <f>'Übersicht Score Index'!G160*Rezepte!AP160</f>
        <v>0</v>
      </c>
      <c r="P160">
        <f>'Übersicht Score Index'!G160*Rezepte!AQ160</f>
        <v>0</v>
      </c>
      <c r="Q160">
        <f>'Übersicht Score Index'!G160*Rezepte!AR160</f>
        <v>0</v>
      </c>
      <c r="R160">
        <f>'Übersicht Score Index'!H160*Rezepte!AP160</f>
        <v>0</v>
      </c>
      <c r="S160">
        <f>'Übersicht Score Index'!H160*Rezepte!AQ160</f>
        <v>0</v>
      </c>
      <c r="T160">
        <f>'Übersicht Score Index'!H160*Rezepte!AR160</f>
        <v>0</v>
      </c>
      <c r="U160">
        <f>'Übersicht Score Index'!I160*Rezepte!AP160</f>
        <v>0</v>
      </c>
      <c r="V160">
        <f>'Übersicht Score Index'!I160*Rezepte!AQ160</f>
        <v>0</v>
      </c>
      <c r="W160">
        <f>'Übersicht Score Index'!I160*Rezepte!AR160</f>
        <v>0</v>
      </c>
    </row>
    <row r="161" spans="1:23" x14ac:dyDescent="0.3">
      <c r="A161" s="2" t="s">
        <v>326</v>
      </c>
      <c r="B161" s="2" t="s">
        <v>327</v>
      </c>
      <c r="C161">
        <f>'Übersicht Score Index'!C161*Rezepte!AP161</f>
        <v>0</v>
      </c>
      <c r="D161">
        <f>'Übersicht Score Index'!C161*Rezepte!AQ161</f>
        <v>0</v>
      </c>
      <c r="E161">
        <f>'Übersicht Score Index'!C161*Rezepte!AR161</f>
        <v>0</v>
      </c>
      <c r="F161">
        <f>'Übersicht Score Index'!D161*Rezepte!AP161</f>
        <v>0</v>
      </c>
      <c r="G161">
        <f>'Übersicht Score Index'!D161*Rezepte!AQ161</f>
        <v>0</v>
      </c>
      <c r="H161">
        <f>'Übersicht Score Index'!D161*Rezepte!AR161</f>
        <v>0</v>
      </c>
      <c r="I161">
        <f>'Übersicht Score Index'!E161*Rezepte!AP161</f>
        <v>0</v>
      </c>
      <c r="J161">
        <f>'Übersicht Score Index'!E161*Rezepte!AQ161</f>
        <v>0</v>
      </c>
      <c r="K161">
        <f>'Übersicht Score Index'!E161*Rezepte!AR161</f>
        <v>0</v>
      </c>
      <c r="L161">
        <f>'Übersicht Score Index'!F161*Rezepte!AP161</f>
        <v>0</v>
      </c>
      <c r="M161">
        <f>'Übersicht Score Index'!F161*Rezepte!AQ161</f>
        <v>0</v>
      </c>
      <c r="N161">
        <f>'Übersicht Score Index'!F161*Rezepte!AR161</f>
        <v>0</v>
      </c>
      <c r="O161">
        <f>'Übersicht Score Index'!G161*Rezepte!AP161</f>
        <v>0</v>
      </c>
      <c r="P161">
        <f>'Übersicht Score Index'!G161*Rezepte!AQ161</f>
        <v>0</v>
      </c>
      <c r="Q161">
        <f>'Übersicht Score Index'!G161*Rezepte!AR161</f>
        <v>0</v>
      </c>
      <c r="R161">
        <f>'Übersicht Score Index'!H161*Rezepte!AP161</f>
        <v>0</v>
      </c>
      <c r="S161">
        <f>'Übersicht Score Index'!H161*Rezepte!AQ161</f>
        <v>0</v>
      </c>
      <c r="T161">
        <f>'Übersicht Score Index'!H161*Rezepte!AR161</f>
        <v>0</v>
      </c>
      <c r="U161">
        <f>'Übersicht Score Index'!I161*Rezepte!AP161</f>
        <v>0</v>
      </c>
      <c r="V161">
        <f>'Übersicht Score Index'!I161*Rezepte!AQ161</f>
        <v>0</v>
      </c>
      <c r="W161">
        <f>'Übersicht Score Index'!I161*Rezepte!AR161</f>
        <v>0</v>
      </c>
    </row>
    <row r="162" spans="1:23" x14ac:dyDescent="0.3">
      <c r="A162" s="2" t="s">
        <v>328</v>
      </c>
      <c r="B162" s="2" t="s">
        <v>329</v>
      </c>
      <c r="C162">
        <f>'Übersicht Score Index'!C162*Rezepte!AP162</f>
        <v>0</v>
      </c>
      <c r="D162">
        <f>'Übersicht Score Index'!C162*Rezepte!AQ162</f>
        <v>0</v>
      </c>
      <c r="E162">
        <f>'Übersicht Score Index'!C162*Rezepte!AR162</f>
        <v>0</v>
      </c>
      <c r="F162">
        <f>'Übersicht Score Index'!D162*Rezepte!AP162</f>
        <v>0</v>
      </c>
      <c r="G162">
        <f>'Übersicht Score Index'!D162*Rezepte!AQ162</f>
        <v>0</v>
      </c>
      <c r="H162">
        <f>'Übersicht Score Index'!D162*Rezepte!AR162</f>
        <v>0</v>
      </c>
      <c r="I162">
        <f>'Übersicht Score Index'!E162*Rezepte!AP162</f>
        <v>0</v>
      </c>
      <c r="J162">
        <f>'Übersicht Score Index'!E162*Rezepte!AQ162</f>
        <v>0</v>
      </c>
      <c r="K162">
        <f>'Übersicht Score Index'!E162*Rezepte!AR162</f>
        <v>0</v>
      </c>
      <c r="L162">
        <f>'Übersicht Score Index'!F162*Rezepte!AP162</f>
        <v>0</v>
      </c>
      <c r="M162">
        <f>'Übersicht Score Index'!F162*Rezepte!AQ162</f>
        <v>0</v>
      </c>
      <c r="N162">
        <f>'Übersicht Score Index'!F162*Rezepte!AR162</f>
        <v>0</v>
      </c>
      <c r="O162">
        <f>'Übersicht Score Index'!G162*Rezepte!AP162</f>
        <v>0</v>
      </c>
      <c r="P162">
        <f>'Übersicht Score Index'!G162*Rezepte!AQ162</f>
        <v>0</v>
      </c>
      <c r="Q162">
        <f>'Übersicht Score Index'!G162*Rezepte!AR162</f>
        <v>0</v>
      </c>
      <c r="R162">
        <f>'Übersicht Score Index'!H162*Rezepte!AP162</f>
        <v>0</v>
      </c>
      <c r="S162">
        <f>'Übersicht Score Index'!H162*Rezepte!AQ162</f>
        <v>0</v>
      </c>
      <c r="T162">
        <f>'Übersicht Score Index'!H162*Rezepte!AR162</f>
        <v>0</v>
      </c>
      <c r="U162">
        <f>'Übersicht Score Index'!I162*Rezepte!AP162</f>
        <v>0</v>
      </c>
      <c r="V162">
        <f>'Übersicht Score Index'!I162*Rezepte!AQ162</f>
        <v>0</v>
      </c>
      <c r="W162">
        <f>'Übersicht Score Index'!I162*Rezepte!AR162</f>
        <v>0</v>
      </c>
    </row>
    <row r="163" spans="1:23" x14ac:dyDescent="0.3">
      <c r="A163" s="2" t="s">
        <v>330</v>
      </c>
      <c r="B163" s="2" t="s">
        <v>331</v>
      </c>
      <c r="C163">
        <f>'Übersicht Score Index'!C163*Rezepte!AP163</f>
        <v>0</v>
      </c>
      <c r="D163">
        <f>'Übersicht Score Index'!C163*Rezepte!AQ163</f>
        <v>0</v>
      </c>
      <c r="E163">
        <f>'Übersicht Score Index'!C163*Rezepte!AR163</f>
        <v>0</v>
      </c>
      <c r="F163">
        <f>'Übersicht Score Index'!D163*Rezepte!AP163</f>
        <v>0</v>
      </c>
      <c r="G163">
        <f>'Übersicht Score Index'!D163*Rezepte!AQ163</f>
        <v>0</v>
      </c>
      <c r="H163">
        <f>'Übersicht Score Index'!D163*Rezepte!AR163</f>
        <v>0</v>
      </c>
      <c r="I163">
        <f>'Übersicht Score Index'!E163*Rezepte!AP163</f>
        <v>0</v>
      </c>
      <c r="J163">
        <f>'Übersicht Score Index'!E163*Rezepte!AQ163</f>
        <v>0</v>
      </c>
      <c r="K163">
        <f>'Übersicht Score Index'!E163*Rezepte!AR163</f>
        <v>0</v>
      </c>
      <c r="L163">
        <f>'Übersicht Score Index'!F163*Rezepte!AP163</f>
        <v>0</v>
      </c>
      <c r="M163">
        <f>'Übersicht Score Index'!F163*Rezepte!AQ163</f>
        <v>0</v>
      </c>
      <c r="N163">
        <f>'Übersicht Score Index'!F163*Rezepte!AR163</f>
        <v>0</v>
      </c>
      <c r="O163">
        <f>'Übersicht Score Index'!G163*Rezepte!AP163</f>
        <v>0</v>
      </c>
      <c r="P163">
        <f>'Übersicht Score Index'!G163*Rezepte!AQ163</f>
        <v>0</v>
      </c>
      <c r="Q163">
        <f>'Übersicht Score Index'!G163*Rezepte!AR163</f>
        <v>0</v>
      </c>
      <c r="R163">
        <f>'Übersicht Score Index'!H163*Rezepte!AP163</f>
        <v>0</v>
      </c>
      <c r="S163">
        <f>'Übersicht Score Index'!H163*Rezepte!AQ163</f>
        <v>0</v>
      </c>
      <c r="T163">
        <f>'Übersicht Score Index'!H163*Rezepte!AR163</f>
        <v>0</v>
      </c>
      <c r="U163">
        <f>'Übersicht Score Index'!I163*Rezepte!AP163</f>
        <v>0</v>
      </c>
      <c r="V163">
        <f>'Übersicht Score Index'!I163*Rezepte!AQ163</f>
        <v>0</v>
      </c>
      <c r="W163">
        <f>'Übersicht Score Index'!I163*Rezepte!AR163</f>
        <v>0</v>
      </c>
    </row>
    <row r="164" spans="1:23" x14ac:dyDescent="0.3">
      <c r="A164" s="2" t="s">
        <v>332</v>
      </c>
      <c r="B164" s="2" t="s">
        <v>333</v>
      </c>
      <c r="C164">
        <f>'Übersicht Score Index'!C164*Rezepte!AP164</f>
        <v>0</v>
      </c>
      <c r="D164">
        <f>'Übersicht Score Index'!C164*Rezepte!AQ164</f>
        <v>0</v>
      </c>
      <c r="E164">
        <f>'Übersicht Score Index'!C164*Rezepte!AR164</f>
        <v>0</v>
      </c>
      <c r="F164">
        <f>'Übersicht Score Index'!D164*Rezepte!AP164</f>
        <v>0</v>
      </c>
      <c r="G164">
        <f>'Übersicht Score Index'!D164*Rezepte!AQ164</f>
        <v>0</v>
      </c>
      <c r="H164">
        <f>'Übersicht Score Index'!D164*Rezepte!AR164</f>
        <v>0</v>
      </c>
      <c r="I164">
        <f>'Übersicht Score Index'!E164*Rezepte!AP164</f>
        <v>0</v>
      </c>
      <c r="J164">
        <f>'Übersicht Score Index'!E164*Rezepte!AQ164</f>
        <v>0</v>
      </c>
      <c r="K164">
        <f>'Übersicht Score Index'!E164*Rezepte!AR164</f>
        <v>0</v>
      </c>
      <c r="L164">
        <f>'Übersicht Score Index'!F164*Rezepte!AP164</f>
        <v>0</v>
      </c>
      <c r="M164">
        <f>'Übersicht Score Index'!F164*Rezepte!AQ164</f>
        <v>0</v>
      </c>
      <c r="N164">
        <f>'Übersicht Score Index'!F164*Rezepte!AR164</f>
        <v>0</v>
      </c>
      <c r="O164">
        <f>'Übersicht Score Index'!G164*Rezepte!AP164</f>
        <v>0</v>
      </c>
      <c r="P164">
        <f>'Übersicht Score Index'!G164*Rezepte!AQ164</f>
        <v>0</v>
      </c>
      <c r="Q164">
        <f>'Übersicht Score Index'!G164*Rezepte!AR164</f>
        <v>0</v>
      </c>
      <c r="R164">
        <f>'Übersicht Score Index'!H164*Rezepte!AP164</f>
        <v>0</v>
      </c>
      <c r="S164">
        <f>'Übersicht Score Index'!H164*Rezepte!AQ164</f>
        <v>0</v>
      </c>
      <c r="T164">
        <f>'Übersicht Score Index'!H164*Rezepte!AR164</f>
        <v>0</v>
      </c>
      <c r="U164">
        <f>'Übersicht Score Index'!I164*Rezepte!AP164</f>
        <v>0</v>
      </c>
      <c r="V164">
        <f>'Übersicht Score Index'!I164*Rezepte!AQ164</f>
        <v>0</v>
      </c>
      <c r="W164">
        <f>'Übersicht Score Index'!I164*Rezepte!AR164</f>
        <v>0</v>
      </c>
    </row>
    <row r="165" spans="1:23" x14ac:dyDescent="0.3">
      <c r="A165" s="2" t="s">
        <v>334</v>
      </c>
      <c r="B165" s="2" t="s">
        <v>335</v>
      </c>
      <c r="C165">
        <f>'Übersicht Score Index'!C165*Rezepte!AP165</f>
        <v>0</v>
      </c>
      <c r="D165">
        <f>'Übersicht Score Index'!C165*Rezepte!AQ165</f>
        <v>0</v>
      </c>
      <c r="E165">
        <f>'Übersicht Score Index'!C165*Rezepte!AR165</f>
        <v>0</v>
      </c>
      <c r="F165">
        <f>'Übersicht Score Index'!D165*Rezepte!AP165</f>
        <v>0</v>
      </c>
      <c r="G165">
        <f>'Übersicht Score Index'!D165*Rezepte!AQ165</f>
        <v>0</v>
      </c>
      <c r="H165">
        <f>'Übersicht Score Index'!D165*Rezepte!AR165</f>
        <v>0</v>
      </c>
      <c r="I165">
        <f>'Übersicht Score Index'!E165*Rezepte!AP165</f>
        <v>0</v>
      </c>
      <c r="J165">
        <f>'Übersicht Score Index'!E165*Rezepte!AQ165</f>
        <v>0</v>
      </c>
      <c r="K165">
        <f>'Übersicht Score Index'!E165*Rezepte!AR165</f>
        <v>0</v>
      </c>
      <c r="L165">
        <f>'Übersicht Score Index'!F165*Rezepte!AP165</f>
        <v>0</v>
      </c>
      <c r="M165">
        <f>'Übersicht Score Index'!F165*Rezepte!AQ165</f>
        <v>0</v>
      </c>
      <c r="N165">
        <f>'Übersicht Score Index'!F165*Rezepte!AR165</f>
        <v>0</v>
      </c>
      <c r="O165">
        <f>'Übersicht Score Index'!G165*Rezepte!AP165</f>
        <v>0</v>
      </c>
      <c r="P165">
        <f>'Übersicht Score Index'!G165*Rezepte!AQ165</f>
        <v>0</v>
      </c>
      <c r="Q165">
        <f>'Übersicht Score Index'!G165*Rezepte!AR165</f>
        <v>0</v>
      </c>
      <c r="R165">
        <f>'Übersicht Score Index'!H165*Rezepte!AP165</f>
        <v>0</v>
      </c>
      <c r="S165">
        <f>'Übersicht Score Index'!H165*Rezepte!AQ165</f>
        <v>0</v>
      </c>
      <c r="T165">
        <f>'Übersicht Score Index'!H165*Rezepte!AR165</f>
        <v>0</v>
      </c>
      <c r="U165">
        <f>'Übersicht Score Index'!I165*Rezepte!AP165</f>
        <v>0</v>
      </c>
      <c r="V165">
        <f>'Übersicht Score Index'!I165*Rezepte!AQ165</f>
        <v>0</v>
      </c>
      <c r="W165">
        <f>'Übersicht Score Index'!I165*Rezepte!AR165</f>
        <v>0</v>
      </c>
    </row>
    <row r="166" spans="1:23" x14ac:dyDescent="0.3">
      <c r="A166" s="2" t="s">
        <v>336</v>
      </c>
      <c r="B166" s="2" t="s">
        <v>337</v>
      </c>
      <c r="C166">
        <f>'Übersicht Score Index'!C166*Rezepte!AP166</f>
        <v>0</v>
      </c>
      <c r="D166">
        <f>'Übersicht Score Index'!C166*Rezepte!AQ166</f>
        <v>0</v>
      </c>
      <c r="E166">
        <f>'Übersicht Score Index'!C166*Rezepte!AR166</f>
        <v>0</v>
      </c>
      <c r="F166">
        <f>'Übersicht Score Index'!D166*Rezepte!AP166</f>
        <v>0</v>
      </c>
      <c r="G166">
        <f>'Übersicht Score Index'!D166*Rezepte!AQ166</f>
        <v>0</v>
      </c>
      <c r="H166">
        <f>'Übersicht Score Index'!D166*Rezepte!AR166</f>
        <v>0</v>
      </c>
      <c r="I166">
        <f>'Übersicht Score Index'!E166*Rezepte!AP166</f>
        <v>0</v>
      </c>
      <c r="J166">
        <f>'Übersicht Score Index'!E166*Rezepte!AQ166</f>
        <v>0</v>
      </c>
      <c r="K166">
        <f>'Übersicht Score Index'!E166*Rezepte!AR166</f>
        <v>0</v>
      </c>
      <c r="L166">
        <f>'Übersicht Score Index'!F166*Rezepte!AP166</f>
        <v>0</v>
      </c>
      <c r="M166">
        <f>'Übersicht Score Index'!F166*Rezepte!AQ166</f>
        <v>0</v>
      </c>
      <c r="N166">
        <f>'Übersicht Score Index'!F166*Rezepte!AR166</f>
        <v>0</v>
      </c>
      <c r="O166">
        <f>'Übersicht Score Index'!G166*Rezepte!AP166</f>
        <v>0</v>
      </c>
      <c r="P166">
        <f>'Übersicht Score Index'!G166*Rezepte!AQ166</f>
        <v>0</v>
      </c>
      <c r="Q166">
        <f>'Übersicht Score Index'!G166*Rezepte!AR166</f>
        <v>0</v>
      </c>
      <c r="R166">
        <f>'Übersicht Score Index'!H166*Rezepte!AP166</f>
        <v>0</v>
      </c>
      <c r="S166">
        <f>'Übersicht Score Index'!H166*Rezepte!AQ166</f>
        <v>0</v>
      </c>
      <c r="T166">
        <f>'Übersicht Score Index'!H166*Rezepte!AR166</f>
        <v>0</v>
      </c>
      <c r="U166">
        <f>'Übersicht Score Index'!I166*Rezepte!AP166</f>
        <v>0</v>
      </c>
      <c r="V166">
        <f>'Übersicht Score Index'!I166*Rezepte!AQ166</f>
        <v>0</v>
      </c>
      <c r="W166">
        <f>'Übersicht Score Index'!I166*Rezepte!AR166</f>
        <v>0</v>
      </c>
    </row>
    <row r="167" spans="1:23" x14ac:dyDescent="0.3">
      <c r="A167" s="2" t="s">
        <v>338</v>
      </c>
      <c r="B167" s="2" t="s">
        <v>339</v>
      </c>
      <c r="C167">
        <f>'Übersicht Score Index'!C167*Rezepte!AP167</f>
        <v>0</v>
      </c>
      <c r="D167">
        <f>'Übersicht Score Index'!C167*Rezepte!AQ167</f>
        <v>0</v>
      </c>
      <c r="E167">
        <f>'Übersicht Score Index'!C167*Rezepte!AR167</f>
        <v>0</v>
      </c>
      <c r="F167">
        <f>'Übersicht Score Index'!D167*Rezepte!AP167</f>
        <v>0</v>
      </c>
      <c r="G167">
        <f>'Übersicht Score Index'!D167*Rezepte!AQ167</f>
        <v>0</v>
      </c>
      <c r="H167">
        <f>'Übersicht Score Index'!D167*Rezepte!AR167</f>
        <v>0</v>
      </c>
      <c r="I167">
        <f>'Übersicht Score Index'!E167*Rezepte!AP167</f>
        <v>0</v>
      </c>
      <c r="J167">
        <f>'Übersicht Score Index'!E167*Rezepte!AQ167</f>
        <v>0</v>
      </c>
      <c r="K167">
        <f>'Übersicht Score Index'!E167*Rezepte!AR167</f>
        <v>0</v>
      </c>
      <c r="L167">
        <f>'Übersicht Score Index'!F167*Rezepte!AP167</f>
        <v>0</v>
      </c>
      <c r="M167">
        <f>'Übersicht Score Index'!F167*Rezepte!AQ167</f>
        <v>0</v>
      </c>
      <c r="N167">
        <f>'Übersicht Score Index'!F167*Rezepte!AR167</f>
        <v>0</v>
      </c>
      <c r="O167">
        <f>'Übersicht Score Index'!G167*Rezepte!AP167</f>
        <v>0</v>
      </c>
      <c r="P167">
        <f>'Übersicht Score Index'!G167*Rezepte!AQ167</f>
        <v>0</v>
      </c>
      <c r="Q167">
        <f>'Übersicht Score Index'!G167*Rezepte!AR167</f>
        <v>0</v>
      </c>
      <c r="R167">
        <f>'Übersicht Score Index'!H167*Rezepte!AP167</f>
        <v>0</v>
      </c>
      <c r="S167">
        <f>'Übersicht Score Index'!H167*Rezepte!AQ167</f>
        <v>0</v>
      </c>
      <c r="T167">
        <f>'Übersicht Score Index'!H167*Rezepte!AR167</f>
        <v>0</v>
      </c>
      <c r="U167">
        <f>'Übersicht Score Index'!I167*Rezepte!AP167</f>
        <v>0</v>
      </c>
      <c r="V167">
        <f>'Übersicht Score Index'!I167*Rezepte!AQ167</f>
        <v>0</v>
      </c>
      <c r="W167">
        <f>'Übersicht Score Index'!I167*Rezepte!AR167</f>
        <v>0</v>
      </c>
    </row>
    <row r="168" spans="1:23" x14ac:dyDescent="0.3">
      <c r="A168" s="2" t="s">
        <v>340</v>
      </c>
      <c r="B168" s="2" t="s">
        <v>341</v>
      </c>
      <c r="C168">
        <f>'Übersicht Score Index'!C168*Rezepte!AP168</f>
        <v>0</v>
      </c>
      <c r="D168">
        <f>'Übersicht Score Index'!C168*Rezepte!AQ168</f>
        <v>0</v>
      </c>
      <c r="E168">
        <f>'Übersicht Score Index'!C168*Rezepte!AR168</f>
        <v>0</v>
      </c>
      <c r="F168">
        <f>'Übersicht Score Index'!D168*Rezepte!AP168</f>
        <v>0</v>
      </c>
      <c r="G168">
        <f>'Übersicht Score Index'!D168*Rezepte!AQ168</f>
        <v>0</v>
      </c>
      <c r="H168">
        <f>'Übersicht Score Index'!D168*Rezepte!AR168</f>
        <v>0</v>
      </c>
      <c r="I168">
        <f>'Übersicht Score Index'!E168*Rezepte!AP168</f>
        <v>0</v>
      </c>
      <c r="J168">
        <f>'Übersicht Score Index'!E168*Rezepte!AQ168</f>
        <v>0</v>
      </c>
      <c r="K168">
        <f>'Übersicht Score Index'!E168*Rezepte!AR168</f>
        <v>0</v>
      </c>
      <c r="L168">
        <f>'Übersicht Score Index'!F168*Rezepte!AP168</f>
        <v>0</v>
      </c>
      <c r="M168">
        <f>'Übersicht Score Index'!F168*Rezepte!AQ168</f>
        <v>0</v>
      </c>
      <c r="N168">
        <f>'Übersicht Score Index'!F168*Rezepte!AR168</f>
        <v>0</v>
      </c>
      <c r="O168">
        <f>'Übersicht Score Index'!G168*Rezepte!AP168</f>
        <v>0</v>
      </c>
      <c r="P168">
        <f>'Übersicht Score Index'!G168*Rezepte!AQ168</f>
        <v>0</v>
      </c>
      <c r="Q168">
        <f>'Übersicht Score Index'!G168*Rezepte!AR168</f>
        <v>0</v>
      </c>
      <c r="R168">
        <f>'Übersicht Score Index'!H168*Rezepte!AP168</f>
        <v>0</v>
      </c>
      <c r="S168">
        <f>'Übersicht Score Index'!H168*Rezepte!AQ168</f>
        <v>0</v>
      </c>
      <c r="T168">
        <f>'Übersicht Score Index'!H168*Rezepte!AR168</f>
        <v>0</v>
      </c>
      <c r="U168">
        <f>'Übersicht Score Index'!I168*Rezepte!AP168</f>
        <v>0</v>
      </c>
      <c r="V168">
        <f>'Übersicht Score Index'!I168*Rezepte!AQ168</f>
        <v>0</v>
      </c>
      <c r="W168">
        <f>'Übersicht Score Index'!I168*Rezepte!AR168</f>
        <v>0</v>
      </c>
    </row>
    <row r="169" spans="1:23" x14ac:dyDescent="0.3">
      <c r="A169" s="2" t="s">
        <v>342</v>
      </c>
      <c r="B169" s="2" t="s">
        <v>343</v>
      </c>
      <c r="C169">
        <f>'Übersicht Score Index'!C169*Rezepte!AP169</f>
        <v>0</v>
      </c>
      <c r="D169">
        <f>'Übersicht Score Index'!C169*Rezepte!AQ169</f>
        <v>0</v>
      </c>
      <c r="E169">
        <f>'Übersicht Score Index'!C169*Rezepte!AR169</f>
        <v>0</v>
      </c>
      <c r="F169">
        <f>'Übersicht Score Index'!D169*Rezepte!AP169</f>
        <v>0</v>
      </c>
      <c r="G169">
        <f>'Übersicht Score Index'!D169*Rezepte!AQ169</f>
        <v>0</v>
      </c>
      <c r="H169">
        <f>'Übersicht Score Index'!D169*Rezepte!AR169</f>
        <v>0</v>
      </c>
      <c r="I169">
        <f>'Übersicht Score Index'!E169*Rezepte!AP169</f>
        <v>0</v>
      </c>
      <c r="J169">
        <f>'Übersicht Score Index'!E169*Rezepte!AQ169</f>
        <v>0</v>
      </c>
      <c r="K169">
        <f>'Übersicht Score Index'!E169*Rezepte!AR169</f>
        <v>0</v>
      </c>
      <c r="L169">
        <f>'Übersicht Score Index'!F169*Rezepte!AP169</f>
        <v>0</v>
      </c>
      <c r="M169">
        <f>'Übersicht Score Index'!F169*Rezepte!AQ169</f>
        <v>0</v>
      </c>
      <c r="N169">
        <f>'Übersicht Score Index'!F169*Rezepte!AR169</f>
        <v>0</v>
      </c>
      <c r="O169">
        <f>'Übersicht Score Index'!G169*Rezepte!AP169</f>
        <v>0</v>
      </c>
      <c r="P169">
        <f>'Übersicht Score Index'!G169*Rezepte!AQ169</f>
        <v>0</v>
      </c>
      <c r="Q169">
        <f>'Übersicht Score Index'!G169*Rezepte!AR169</f>
        <v>0</v>
      </c>
      <c r="R169">
        <f>'Übersicht Score Index'!H169*Rezepte!AP169</f>
        <v>0</v>
      </c>
      <c r="S169">
        <f>'Übersicht Score Index'!H169*Rezepte!AQ169</f>
        <v>0</v>
      </c>
      <c r="T169">
        <f>'Übersicht Score Index'!H169*Rezepte!AR169</f>
        <v>0</v>
      </c>
      <c r="U169">
        <f>'Übersicht Score Index'!I169*Rezepte!AP169</f>
        <v>0</v>
      </c>
      <c r="V169">
        <f>'Übersicht Score Index'!I169*Rezepte!AQ169</f>
        <v>0</v>
      </c>
      <c r="W169">
        <f>'Übersicht Score Index'!I169*Rezepte!AR169</f>
        <v>0</v>
      </c>
    </row>
    <row r="170" spans="1:23" x14ac:dyDescent="0.3">
      <c r="A170" s="2" t="s">
        <v>344</v>
      </c>
      <c r="B170" s="2" t="s">
        <v>345</v>
      </c>
      <c r="C170">
        <f>'Übersicht Score Index'!C170*Rezepte!AP170</f>
        <v>0</v>
      </c>
      <c r="D170">
        <f>'Übersicht Score Index'!C170*Rezepte!AQ170</f>
        <v>0</v>
      </c>
      <c r="E170">
        <f>'Übersicht Score Index'!C170*Rezepte!AR170</f>
        <v>0</v>
      </c>
      <c r="F170">
        <f>'Übersicht Score Index'!D170*Rezepte!AP170</f>
        <v>0</v>
      </c>
      <c r="G170">
        <f>'Übersicht Score Index'!D170*Rezepte!AQ170</f>
        <v>0</v>
      </c>
      <c r="H170">
        <f>'Übersicht Score Index'!D170*Rezepte!AR170</f>
        <v>0</v>
      </c>
      <c r="I170">
        <f>'Übersicht Score Index'!E170*Rezepte!AP170</f>
        <v>0</v>
      </c>
      <c r="J170">
        <f>'Übersicht Score Index'!E170*Rezepte!AQ170</f>
        <v>0</v>
      </c>
      <c r="K170">
        <f>'Übersicht Score Index'!E170*Rezepte!AR170</f>
        <v>0</v>
      </c>
      <c r="L170">
        <f>'Übersicht Score Index'!F170*Rezepte!AP170</f>
        <v>0</v>
      </c>
      <c r="M170">
        <f>'Übersicht Score Index'!F170*Rezepte!AQ170</f>
        <v>0</v>
      </c>
      <c r="N170">
        <f>'Übersicht Score Index'!F170*Rezepte!AR170</f>
        <v>0</v>
      </c>
      <c r="O170">
        <f>'Übersicht Score Index'!G170*Rezepte!AP170</f>
        <v>0</v>
      </c>
      <c r="P170">
        <f>'Übersicht Score Index'!G170*Rezepte!AQ170</f>
        <v>0</v>
      </c>
      <c r="Q170">
        <f>'Übersicht Score Index'!G170*Rezepte!AR170</f>
        <v>0</v>
      </c>
      <c r="R170">
        <f>'Übersicht Score Index'!H170*Rezepte!AP170</f>
        <v>0</v>
      </c>
      <c r="S170">
        <f>'Übersicht Score Index'!H170*Rezepte!AQ170</f>
        <v>0</v>
      </c>
      <c r="T170">
        <f>'Übersicht Score Index'!H170*Rezepte!AR170</f>
        <v>0</v>
      </c>
      <c r="U170">
        <f>'Übersicht Score Index'!I170*Rezepte!AP170</f>
        <v>0</v>
      </c>
      <c r="V170">
        <f>'Übersicht Score Index'!I170*Rezepte!AQ170</f>
        <v>0</v>
      </c>
      <c r="W170">
        <f>'Übersicht Score Index'!I170*Rezepte!AR170</f>
        <v>0</v>
      </c>
    </row>
    <row r="171" spans="1:23" x14ac:dyDescent="0.3">
      <c r="A171" s="2" t="s">
        <v>346</v>
      </c>
      <c r="B171" s="2" t="s">
        <v>347</v>
      </c>
      <c r="C171">
        <f>'Übersicht Score Index'!C171*Rezepte!AP171</f>
        <v>0</v>
      </c>
      <c r="D171">
        <f>'Übersicht Score Index'!C171*Rezepte!AQ171</f>
        <v>0</v>
      </c>
      <c r="E171">
        <f>'Übersicht Score Index'!C171*Rezepte!AR171</f>
        <v>0</v>
      </c>
      <c r="F171">
        <f>'Übersicht Score Index'!D171*Rezepte!AP171</f>
        <v>0</v>
      </c>
      <c r="G171">
        <f>'Übersicht Score Index'!D171*Rezepte!AQ171</f>
        <v>0</v>
      </c>
      <c r="H171">
        <f>'Übersicht Score Index'!D171*Rezepte!AR171</f>
        <v>0</v>
      </c>
      <c r="I171">
        <f>'Übersicht Score Index'!E171*Rezepte!AP171</f>
        <v>0</v>
      </c>
      <c r="J171">
        <f>'Übersicht Score Index'!E171*Rezepte!AQ171</f>
        <v>0</v>
      </c>
      <c r="K171">
        <f>'Übersicht Score Index'!E171*Rezepte!AR171</f>
        <v>0</v>
      </c>
      <c r="L171">
        <f>'Übersicht Score Index'!F171*Rezepte!AP171</f>
        <v>0</v>
      </c>
      <c r="M171">
        <f>'Übersicht Score Index'!F171*Rezepte!AQ171</f>
        <v>0</v>
      </c>
      <c r="N171">
        <f>'Übersicht Score Index'!F171*Rezepte!AR171</f>
        <v>0</v>
      </c>
      <c r="O171">
        <f>'Übersicht Score Index'!G171*Rezepte!AP171</f>
        <v>0</v>
      </c>
      <c r="P171">
        <f>'Übersicht Score Index'!G171*Rezepte!AQ171</f>
        <v>0</v>
      </c>
      <c r="Q171">
        <f>'Übersicht Score Index'!G171*Rezepte!AR171</f>
        <v>0</v>
      </c>
      <c r="R171">
        <f>'Übersicht Score Index'!H171*Rezepte!AP171</f>
        <v>0</v>
      </c>
      <c r="S171">
        <f>'Übersicht Score Index'!H171*Rezepte!AQ171</f>
        <v>0</v>
      </c>
      <c r="T171">
        <f>'Übersicht Score Index'!H171*Rezepte!AR171</f>
        <v>0</v>
      </c>
      <c r="U171">
        <f>'Übersicht Score Index'!I171*Rezepte!AP171</f>
        <v>0</v>
      </c>
      <c r="V171">
        <f>'Übersicht Score Index'!I171*Rezepte!AQ171</f>
        <v>0</v>
      </c>
      <c r="W171">
        <f>'Übersicht Score Index'!I171*Rezepte!AR171</f>
        <v>0</v>
      </c>
    </row>
    <row r="172" spans="1:23" x14ac:dyDescent="0.3">
      <c r="A172" s="2" t="s">
        <v>348</v>
      </c>
      <c r="B172" s="2" t="s">
        <v>349</v>
      </c>
      <c r="C172">
        <f>'Übersicht Score Index'!C172*Rezepte!AP172</f>
        <v>0</v>
      </c>
      <c r="D172">
        <f>'Übersicht Score Index'!C172*Rezepte!AQ172</f>
        <v>0</v>
      </c>
      <c r="E172">
        <f>'Übersicht Score Index'!C172*Rezepte!AR172</f>
        <v>0</v>
      </c>
      <c r="F172">
        <f>'Übersicht Score Index'!D172*Rezepte!AP172</f>
        <v>0</v>
      </c>
      <c r="G172">
        <f>'Übersicht Score Index'!D172*Rezepte!AQ172</f>
        <v>0</v>
      </c>
      <c r="H172">
        <f>'Übersicht Score Index'!D172*Rezepte!AR172</f>
        <v>0</v>
      </c>
      <c r="I172">
        <f>'Übersicht Score Index'!E172*Rezepte!AP172</f>
        <v>0</v>
      </c>
      <c r="J172">
        <f>'Übersicht Score Index'!E172*Rezepte!AQ172</f>
        <v>0</v>
      </c>
      <c r="K172">
        <f>'Übersicht Score Index'!E172*Rezepte!AR172</f>
        <v>0</v>
      </c>
      <c r="L172">
        <f>'Übersicht Score Index'!F172*Rezepte!AP172</f>
        <v>0</v>
      </c>
      <c r="M172">
        <f>'Übersicht Score Index'!F172*Rezepte!AQ172</f>
        <v>0</v>
      </c>
      <c r="N172">
        <f>'Übersicht Score Index'!F172*Rezepte!AR172</f>
        <v>0</v>
      </c>
      <c r="O172">
        <f>'Übersicht Score Index'!G172*Rezepte!AP172</f>
        <v>0</v>
      </c>
      <c r="P172">
        <f>'Übersicht Score Index'!G172*Rezepte!AQ172</f>
        <v>0</v>
      </c>
      <c r="Q172">
        <f>'Übersicht Score Index'!G172*Rezepte!AR172</f>
        <v>0</v>
      </c>
      <c r="R172">
        <f>'Übersicht Score Index'!H172*Rezepte!AP172</f>
        <v>0</v>
      </c>
      <c r="S172">
        <f>'Übersicht Score Index'!H172*Rezepte!AQ172</f>
        <v>0</v>
      </c>
      <c r="T172">
        <f>'Übersicht Score Index'!H172*Rezepte!AR172</f>
        <v>0</v>
      </c>
      <c r="U172">
        <f>'Übersicht Score Index'!I172*Rezepte!AP172</f>
        <v>0</v>
      </c>
      <c r="V172">
        <f>'Übersicht Score Index'!I172*Rezepte!AQ172</f>
        <v>0</v>
      </c>
      <c r="W172">
        <f>'Übersicht Score Index'!I172*Rezepte!AR172</f>
        <v>0</v>
      </c>
    </row>
    <row r="173" spans="1:23" x14ac:dyDescent="0.3">
      <c r="A173" s="2" t="s">
        <v>350</v>
      </c>
      <c r="B173" s="2" t="s">
        <v>351</v>
      </c>
      <c r="C173">
        <f>'Übersicht Score Index'!C173*Rezepte!AP173</f>
        <v>0</v>
      </c>
      <c r="D173">
        <f>'Übersicht Score Index'!C173*Rezepte!AQ173</f>
        <v>0</v>
      </c>
      <c r="E173">
        <f>'Übersicht Score Index'!C173*Rezepte!AR173</f>
        <v>0</v>
      </c>
      <c r="F173">
        <f>'Übersicht Score Index'!D173*Rezepte!AP173</f>
        <v>0</v>
      </c>
      <c r="G173">
        <f>'Übersicht Score Index'!D173*Rezepte!AQ173</f>
        <v>0</v>
      </c>
      <c r="H173">
        <f>'Übersicht Score Index'!D173*Rezepte!AR173</f>
        <v>0</v>
      </c>
      <c r="I173">
        <f>'Übersicht Score Index'!E173*Rezepte!AP173</f>
        <v>0</v>
      </c>
      <c r="J173">
        <f>'Übersicht Score Index'!E173*Rezepte!AQ173</f>
        <v>0</v>
      </c>
      <c r="K173">
        <f>'Übersicht Score Index'!E173*Rezepte!AR173</f>
        <v>0</v>
      </c>
      <c r="L173">
        <f>'Übersicht Score Index'!F173*Rezepte!AP173</f>
        <v>0</v>
      </c>
      <c r="M173">
        <f>'Übersicht Score Index'!F173*Rezepte!AQ173</f>
        <v>0</v>
      </c>
      <c r="N173">
        <f>'Übersicht Score Index'!F173*Rezepte!AR173</f>
        <v>0</v>
      </c>
      <c r="O173">
        <f>'Übersicht Score Index'!G173*Rezepte!AP173</f>
        <v>0</v>
      </c>
      <c r="P173">
        <f>'Übersicht Score Index'!G173*Rezepte!AQ173</f>
        <v>0</v>
      </c>
      <c r="Q173">
        <f>'Übersicht Score Index'!G173*Rezepte!AR173</f>
        <v>0</v>
      </c>
      <c r="R173">
        <f>'Übersicht Score Index'!H173*Rezepte!AP173</f>
        <v>0</v>
      </c>
      <c r="S173">
        <f>'Übersicht Score Index'!H173*Rezepte!AQ173</f>
        <v>0</v>
      </c>
      <c r="T173">
        <f>'Übersicht Score Index'!H173*Rezepte!AR173</f>
        <v>0</v>
      </c>
      <c r="U173">
        <f>'Übersicht Score Index'!I173*Rezepte!AP173</f>
        <v>0</v>
      </c>
      <c r="V173">
        <f>'Übersicht Score Index'!I173*Rezepte!AQ173</f>
        <v>0</v>
      </c>
      <c r="W173">
        <f>'Übersicht Score Index'!I173*Rezepte!AR173</f>
        <v>0</v>
      </c>
    </row>
    <row r="174" spans="1:23" x14ac:dyDescent="0.3">
      <c r="A174" s="6" t="s">
        <v>352</v>
      </c>
      <c r="B174" s="6" t="s">
        <v>353</v>
      </c>
      <c r="C174">
        <f>'Übersicht Score Index'!C174*Rezepte!AP174</f>
        <v>0</v>
      </c>
      <c r="D174">
        <f>'Übersicht Score Index'!C174*Rezepte!AQ174</f>
        <v>0</v>
      </c>
      <c r="E174">
        <f>'Übersicht Score Index'!C174*Rezepte!AR174</f>
        <v>0</v>
      </c>
      <c r="F174">
        <f>'Übersicht Score Index'!D174*Rezepte!AP174</f>
        <v>0</v>
      </c>
      <c r="G174">
        <f>'Übersicht Score Index'!D174*Rezepte!AQ174</f>
        <v>0</v>
      </c>
      <c r="H174">
        <f>'Übersicht Score Index'!D174*Rezepte!AR174</f>
        <v>0</v>
      </c>
      <c r="I174">
        <f>'Übersicht Score Index'!E174*Rezepte!AP174</f>
        <v>0</v>
      </c>
      <c r="J174">
        <f>'Übersicht Score Index'!E174*Rezepte!AQ174</f>
        <v>0</v>
      </c>
      <c r="K174">
        <f>'Übersicht Score Index'!E174*Rezepte!AR174</f>
        <v>0</v>
      </c>
      <c r="L174">
        <f>'Übersicht Score Index'!F174*Rezepte!AP174</f>
        <v>0</v>
      </c>
      <c r="M174">
        <f>'Übersicht Score Index'!F174*Rezepte!AQ174</f>
        <v>0</v>
      </c>
      <c r="N174">
        <f>'Übersicht Score Index'!F174*Rezepte!AR174</f>
        <v>0</v>
      </c>
      <c r="O174">
        <f>'Übersicht Score Index'!G174*Rezepte!AP174</f>
        <v>0</v>
      </c>
      <c r="P174">
        <f>'Übersicht Score Index'!G174*Rezepte!AQ174</f>
        <v>0</v>
      </c>
      <c r="Q174">
        <f>'Übersicht Score Index'!G174*Rezepte!AR174</f>
        <v>0</v>
      </c>
      <c r="R174">
        <f>'Übersicht Score Index'!H174*Rezepte!AP174</f>
        <v>0</v>
      </c>
      <c r="S174">
        <f>'Übersicht Score Index'!H174*Rezepte!AQ174</f>
        <v>0</v>
      </c>
      <c r="T174">
        <f>'Übersicht Score Index'!H174*Rezepte!AR174</f>
        <v>0</v>
      </c>
      <c r="U174">
        <f>'Übersicht Score Index'!I174*Rezepte!AP174</f>
        <v>0</v>
      </c>
      <c r="V174">
        <f>'Übersicht Score Index'!I174*Rezepte!AQ174</f>
        <v>0</v>
      </c>
      <c r="W174">
        <f>'Übersicht Score Index'!I174*Rezepte!AR174</f>
        <v>0</v>
      </c>
    </row>
    <row r="175" spans="1:23" x14ac:dyDescent="0.3">
      <c r="A175" s="6" t="s">
        <v>354</v>
      </c>
      <c r="B175" s="6" t="s">
        <v>355</v>
      </c>
      <c r="C175">
        <f>'Übersicht Score Index'!C175*Rezepte!AP175</f>
        <v>7.9545454545454544E-2</v>
      </c>
      <c r="D175">
        <f>'Übersicht Score Index'!C175*Rezepte!AQ175</f>
        <v>3.9772727272727272E-2</v>
      </c>
      <c r="E175">
        <f>'Übersicht Score Index'!C175*Rezepte!AR175</f>
        <v>3.9772727272727272E-2</v>
      </c>
      <c r="F175">
        <f>'Übersicht Score Index'!D175*Rezepte!AP175</f>
        <v>0.11931818181818182</v>
      </c>
      <c r="G175">
        <f>'Übersicht Score Index'!D175*Rezepte!AQ175</f>
        <v>5.9659090909090912E-2</v>
      </c>
      <c r="H175">
        <f>'Übersicht Score Index'!D175*Rezepte!AR175</f>
        <v>5.9659090909090912E-2</v>
      </c>
      <c r="I175">
        <f>'Übersicht Score Index'!E175*Rezepte!AP175</f>
        <v>0</v>
      </c>
      <c r="J175">
        <f>'Übersicht Score Index'!E175*Rezepte!AQ175</f>
        <v>0</v>
      </c>
      <c r="K175">
        <f>'Übersicht Score Index'!E175*Rezepte!AR175</f>
        <v>0</v>
      </c>
      <c r="L175">
        <f>'Übersicht Score Index'!F175*Rezepte!AP175</f>
        <v>0</v>
      </c>
      <c r="M175">
        <f>'Übersicht Score Index'!F175*Rezepte!AQ175</f>
        <v>0</v>
      </c>
      <c r="N175">
        <f>'Übersicht Score Index'!F175*Rezepte!AR175</f>
        <v>0</v>
      </c>
      <c r="O175">
        <f>'Übersicht Score Index'!G175*Rezepte!AP175</f>
        <v>0</v>
      </c>
      <c r="P175">
        <f>'Übersicht Score Index'!G175*Rezepte!AQ175</f>
        <v>0</v>
      </c>
      <c r="Q175">
        <f>'Übersicht Score Index'!G175*Rezepte!AR175</f>
        <v>0</v>
      </c>
      <c r="R175">
        <f>'Übersicht Score Index'!H175*Rezepte!AP175</f>
        <v>0</v>
      </c>
      <c r="S175">
        <f>'Übersicht Score Index'!H175*Rezepte!AQ175</f>
        <v>0</v>
      </c>
      <c r="T175">
        <f>'Übersicht Score Index'!H175*Rezepte!AR175</f>
        <v>0</v>
      </c>
      <c r="U175">
        <f>'Übersicht Score Index'!I175*Rezepte!AP175</f>
        <v>0</v>
      </c>
      <c r="V175">
        <f>'Übersicht Score Index'!I175*Rezepte!AQ175</f>
        <v>0</v>
      </c>
      <c r="W175">
        <f>'Übersicht Score Index'!I175*Rezepte!AR175</f>
        <v>0</v>
      </c>
    </row>
    <row r="176" spans="1:23" x14ac:dyDescent="0.3">
      <c r="A176" s="2" t="s">
        <v>356</v>
      </c>
      <c r="B176" s="2" t="s">
        <v>357</v>
      </c>
      <c r="C176">
        <f>'Übersicht Score Index'!C176*Rezepte!AP176</f>
        <v>0</v>
      </c>
      <c r="D176">
        <f>'Übersicht Score Index'!C176*Rezepte!AQ176</f>
        <v>0</v>
      </c>
      <c r="E176">
        <f>'Übersicht Score Index'!C176*Rezepte!AR176</f>
        <v>0</v>
      </c>
      <c r="F176">
        <f>'Übersicht Score Index'!D176*Rezepte!AP176</f>
        <v>0</v>
      </c>
      <c r="G176">
        <f>'Übersicht Score Index'!D176*Rezepte!AQ176</f>
        <v>0</v>
      </c>
      <c r="H176">
        <f>'Übersicht Score Index'!D176*Rezepte!AR176</f>
        <v>0</v>
      </c>
      <c r="I176">
        <f>'Übersicht Score Index'!E176*Rezepte!AP176</f>
        <v>0</v>
      </c>
      <c r="J176">
        <f>'Übersicht Score Index'!E176*Rezepte!AQ176</f>
        <v>0</v>
      </c>
      <c r="K176">
        <f>'Übersicht Score Index'!E176*Rezepte!AR176</f>
        <v>0</v>
      </c>
      <c r="L176">
        <f>'Übersicht Score Index'!F176*Rezepte!AP176</f>
        <v>0</v>
      </c>
      <c r="M176">
        <f>'Übersicht Score Index'!F176*Rezepte!AQ176</f>
        <v>0</v>
      </c>
      <c r="N176">
        <f>'Übersicht Score Index'!F176*Rezepte!AR176</f>
        <v>0</v>
      </c>
      <c r="O176">
        <f>'Übersicht Score Index'!G176*Rezepte!AP176</f>
        <v>0</v>
      </c>
      <c r="P176">
        <f>'Übersicht Score Index'!G176*Rezepte!AQ176</f>
        <v>0</v>
      </c>
      <c r="Q176">
        <f>'Übersicht Score Index'!G176*Rezepte!AR176</f>
        <v>0</v>
      </c>
      <c r="R176">
        <f>'Übersicht Score Index'!H176*Rezepte!AP176</f>
        <v>0</v>
      </c>
      <c r="S176">
        <f>'Übersicht Score Index'!H176*Rezepte!AQ176</f>
        <v>0</v>
      </c>
      <c r="T176">
        <f>'Übersicht Score Index'!H176*Rezepte!AR176</f>
        <v>0</v>
      </c>
      <c r="U176">
        <f>'Übersicht Score Index'!I176*Rezepte!AP176</f>
        <v>0</v>
      </c>
      <c r="V176">
        <f>'Übersicht Score Index'!I176*Rezepte!AQ176</f>
        <v>0</v>
      </c>
      <c r="W176">
        <f>'Übersicht Score Index'!I176*Rezepte!AR176</f>
        <v>0</v>
      </c>
    </row>
    <row r="177" spans="1:23" x14ac:dyDescent="0.3">
      <c r="A177" s="2" t="s">
        <v>358</v>
      </c>
      <c r="B177" s="2" t="s">
        <v>359</v>
      </c>
      <c r="C177">
        <f>'Übersicht Score Index'!C177*Rezepte!AP177</f>
        <v>0</v>
      </c>
      <c r="D177">
        <f>'Übersicht Score Index'!C177*Rezepte!AQ177</f>
        <v>0</v>
      </c>
      <c r="E177">
        <f>'Übersicht Score Index'!C177*Rezepte!AR177</f>
        <v>0</v>
      </c>
      <c r="F177">
        <f>'Übersicht Score Index'!D177*Rezepte!AP177</f>
        <v>0</v>
      </c>
      <c r="G177">
        <f>'Übersicht Score Index'!D177*Rezepte!AQ177</f>
        <v>0</v>
      </c>
      <c r="H177">
        <f>'Übersicht Score Index'!D177*Rezepte!AR177</f>
        <v>0</v>
      </c>
      <c r="I177">
        <f>'Übersicht Score Index'!E177*Rezepte!AP177</f>
        <v>0</v>
      </c>
      <c r="J177">
        <f>'Übersicht Score Index'!E177*Rezepte!AQ177</f>
        <v>0</v>
      </c>
      <c r="K177">
        <f>'Übersicht Score Index'!E177*Rezepte!AR177</f>
        <v>0</v>
      </c>
      <c r="L177">
        <f>'Übersicht Score Index'!F177*Rezepte!AP177</f>
        <v>0</v>
      </c>
      <c r="M177">
        <f>'Übersicht Score Index'!F177*Rezepte!AQ177</f>
        <v>0</v>
      </c>
      <c r="N177">
        <f>'Übersicht Score Index'!F177*Rezepte!AR177</f>
        <v>0</v>
      </c>
      <c r="O177">
        <f>'Übersicht Score Index'!G177*Rezepte!AP177</f>
        <v>0</v>
      </c>
      <c r="P177">
        <f>'Übersicht Score Index'!G177*Rezepte!AQ177</f>
        <v>0</v>
      </c>
      <c r="Q177">
        <f>'Übersicht Score Index'!G177*Rezepte!AR177</f>
        <v>0</v>
      </c>
      <c r="R177">
        <f>'Übersicht Score Index'!H177*Rezepte!AP177</f>
        <v>0</v>
      </c>
      <c r="S177">
        <f>'Übersicht Score Index'!H177*Rezepte!AQ177</f>
        <v>0</v>
      </c>
      <c r="T177">
        <f>'Übersicht Score Index'!H177*Rezepte!AR177</f>
        <v>0</v>
      </c>
      <c r="U177">
        <f>'Übersicht Score Index'!I177*Rezepte!AP177</f>
        <v>0</v>
      </c>
      <c r="V177">
        <f>'Übersicht Score Index'!I177*Rezepte!AQ177</f>
        <v>0</v>
      </c>
      <c r="W177">
        <f>'Übersicht Score Index'!I177*Rezepte!AR177</f>
        <v>0</v>
      </c>
    </row>
    <row r="178" spans="1:23" x14ac:dyDescent="0.3">
      <c r="A178" s="2" t="s">
        <v>360</v>
      </c>
      <c r="B178" s="2" t="s">
        <v>361</v>
      </c>
      <c r="C178">
        <f>'Übersicht Score Index'!C178*Rezepte!AP178</f>
        <v>0</v>
      </c>
      <c r="D178">
        <f>'Übersicht Score Index'!C178*Rezepte!AQ178</f>
        <v>0</v>
      </c>
      <c r="E178">
        <f>'Übersicht Score Index'!C178*Rezepte!AR178</f>
        <v>0</v>
      </c>
      <c r="F178">
        <f>'Übersicht Score Index'!D178*Rezepte!AP178</f>
        <v>0</v>
      </c>
      <c r="G178">
        <f>'Übersicht Score Index'!D178*Rezepte!AQ178</f>
        <v>0</v>
      </c>
      <c r="H178">
        <f>'Übersicht Score Index'!D178*Rezepte!AR178</f>
        <v>0</v>
      </c>
      <c r="I178">
        <f>'Übersicht Score Index'!E178*Rezepte!AP178</f>
        <v>0</v>
      </c>
      <c r="J178">
        <f>'Übersicht Score Index'!E178*Rezepte!AQ178</f>
        <v>0</v>
      </c>
      <c r="K178">
        <f>'Übersicht Score Index'!E178*Rezepte!AR178</f>
        <v>0</v>
      </c>
      <c r="L178">
        <f>'Übersicht Score Index'!F178*Rezepte!AP178</f>
        <v>0</v>
      </c>
      <c r="M178">
        <f>'Übersicht Score Index'!F178*Rezepte!AQ178</f>
        <v>0</v>
      </c>
      <c r="N178">
        <f>'Übersicht Score Index'!F178*Rezepte!AR178</f>
        <v>0</v>
      </c>
      <c r="O178">
        <f>'Übersicht Score Index'!G178*Rezepte!AP178</f>
        <v>0</v>
      </c>
      <c r="P178">
        <f>'Übersicht Score Index'!G178*Rezepte!AQ178</f>
        <v>0</v>
      </c>
      <c r="Q178">
        <f>'Übersicht Score Index'!G178*Rezepte!AR178</f>
        <v>0</v>
      </c>
      <c r="R178">
        <f>'Übersicht Score Index'!H178*Rezepte!AP178</f>
        <v>0</v>
      </c>
      <c r="S178">
        <f>'Übersicht Score Index'!H178*Rezepte!AQ178</f>
        <v>0</v>
      </c>
      <c r="T178">
        <f>'Übersicht Score Index'!H178*Rezepte!AR178</f>
        <v>0</v>
      </c>
      <c r="U178">
        <f>'Übersicht Score Index'!I178*Rezepte!AP178</f>
        <v>0</v>
      </c>
      <c r="V178">
        <f>'Übersicht Score Index'!I178*Rezepte!AQ178</f>
        <v>0</v>
      </c>
      <c r="W178">
        <f>'Übersicht Score Index'!I178*Rezepte!AR178</f>
        <v>0</v>
      </c>
    </row>
    <row r="179" spans="1:23" x14ac:dyDescent="0.3">
      <c r="A179" s="2" t="s">
        <v>362</v>
      </c>
      <c r="B179" s="2" t="s">
        <v>363</v>
      </c>
      <c r="C179">
        <f>'Übersicht Score Index'!C179*Rezepte!AP179</f>
        <v>0</v>
      </c>
      <c r="D179">
        <f>'Übersicht Score Index'!C179*Rezepte!AQ179</f>
        <v>0</v>
      </c>
      <c r="E179">
        <f>'Übersicht Score Index'!C179*Rezepte!AR179</f>
        <v>0</v>
      </c>
      <c r="F179">
        <f>'Übersicht Score Index'!D179*Rezepte!AP179</f>
        <v>0</v>
      </c>
      <c r="G179">
        <f>'Übersicht Score Index'!D179*Rezepte!AQ179</f>
        <v>0</v>
      </c>
      <c r="H179">
        <f>'Übersicht Score Index'!D179*Rezepte!AR179</f>
        <v>0</v>
      </c>
      <c r="I179">
        <f>'Übersicht Score Index'!E179*Rezepte!AP179</f>
        <v>0</v>
      </c>
      <c r="J179">
        <f>'Übersicht Score Index'!E179*Rezepte!AQ179</f>
        <v>0</v>
      </c>
      <c r="K179">
        <f>'Übersicht Score Index'!E179*Rezepte!AR179</f>
        <v>0</v>
      </c>
      <c r="L179">
        <f>'Übersicht Score Index'!F179*Rezepte!AP179</f>
        <v>0</v>
      </c>
      <c r="M179">
        <f>'Übersicht Score Index'!F179*Rezepte!AQ179</f>
        <v>0</v>
      </c>
      <c r="N179">
        <f>'Übersicht Score Index'!F179*Rezepte!AR179</f>
        <v>0</v>
      </c>
      <c r="O179">
        <f>'Übersicht Score Index'!G179*Rezepte!AP179</f>
        <v>0</v>
      </c>
      <c r="P179">
        <f>'Übersicht Score Index'!G179*Rezepte!AQ179</f>
        <v>0</v>
      </c>
      <c r="Q179">
        <f>'Übersicht Score Index'!G179*Rezepte!AR179</f>
        <v>0</v>
      </c>
      <c r="R179">
        <f>'Übersicht Score Index'!H179*Rezepte!AP179</f>
        <v>0</v>
      </c>
      <c r="S179">
        <f>'Übersicht Score Index'!H179*Rezepte!AQ179</f>
        <v>0</v>
      </c>
      <c r="T179">
        <f>'Übersicht Score Index'!H179*Rezepte!AR179</f>
        <v>0</v>
      </c>
      <c r="U179">
        <f>'Übersicht Score Index'!I179*Rezepte!AP179</f>
        <v>0</v>
      </c>
      <c r="V179">
        <f>'Übersicht Score Index'!I179*Rezepte!AQ179</f>
        <v>0</v>
      </c>
      <c r="W179">
        <f>'Übersicht Score Index'!I179*Rezepte!AR179</f>
        <v>0</v>
      </c>
    </row>
    <row r="180" spans="1:23" x14ac:dyDescent="0.3">
      <c r="A180" s="2" t="s">
        <v>364</v>
      </c>
      <c r="B180" s="2" t="s">
        <v>365</v>
      </c>
      <c r="C180">
        <f>'Übersicht Score Index'!C180*Rezepte!AP180</f>
        <v>0</v>
      </c>
      <c r="D180">
        <f>'Übersicht Score Index'!C180*Rezepte!AQ180</f>
        <v>0</v>
      </c>
      <c r="E180">
        <f>'Übersicht Score Index'!C180*Rezepte!AR180</f>
        <v>0</v>
      </c>
      <c r="F180">
        <f>'Übersicht Score Index'!D180*Rezepte!AP180</f>
        <v>0</v>
      </c>
      <c r="G180">
        <f>'Übersicht Score Index'!D180*Rezepte!AQ180</f>
        <v>0</v>
      </c>
      <c r="H180">
        <f>'Übersicht Score Index'!D180*Rezepte!AR180</f>
        <v>0</v>
      </c>
      <c r="I180">
        <f>'Übersicht Score Index'!E180*Rezepte!AP180</f>
        <v>0</v>
      </c>
      <c r="J180">
        <f>'Übersicht Score Index'!E180*Rezepte!AQ180</f>
        <v>0</v>
      </c>
      <c r="K180">
        <f>'Übersicht Score Index'!E180*Rezepte!AR180</f>
        <v>0</v>
      </c>
      <c r="L180">
        <f>'Übersicht Score Index'!F180*Rezepte!AP180</f>
        <v>0</v>
      </c>
      <c r="M180">
        <f>'Übersicht Score Index'!F180*Rezepte!AQ180</f>
        <v>0</v>
      </c>
      <c r="N180">
        <f>'Übersicht Score Index'!F180*Rezepte!AR180</f>
        <v>0</v>
      </c>
      <c r="O180">
        <f>'Übersicht Score Index'!G180*Rezepte!AP180</f>
        <v>0</v>
      </c>
      <c r="P180">
        <f>'Übersicht Score Index'!G180*Rezepte!AQ180</f>
        <v>0</v>
      </c>
      <c r="Q180">
        <f>'Übersicht Score Index'!G180*Rezepte!AR180</f>
        <v>0</v>
      </c>
      <c r="R180">
        <f>'Übersicht Score Index'!H180*Rezepte!AP180</f>
        <v>0</v>
      </c>
      <c r="S180">
        <f>'Übersicht Score Index'!H180*Rezepte!AQ180</f>
        <v>0</v>
      </c>
      <c r="T180">
        <f>'Übersicht Score Index'!H180*Rezepte!AR180</f>
        <v>0</v>
      </c>
      <c r="U180">
        <f>'Übersicht Score Index'!I180*Rezepte!AP180</f>
        <v>0</v>
      </c>
      <c r="V180">
        <f>'Übersicht Score Index'!I180*Rezepte!AQ180</f>
        <v>0</v>
      </c>
      <c r="W180">
        <f>'Übersicht Score Index'!I180*Rezepte!AR180</f>
        <v>0</v>
      </c>
    </row>
    <row r="181" spans="1:23" x14ac:dyDescent="0.3">
      <c r="A181" s="2" t="s">
        <v>366</v>
      </c>
      <c r="B181" s="2" t="s">
        <v>367</v>
      </c>
      <c r="C181">
        <f>'Übersicht Score Index'!C181*Rezepte!AP181</f>
        <v>0</v>
      </c>
      <c r="D181">
        <f>'Übersicht Score Index'!C181*Rezepte!AQ181</f>
        <v>0</v>
      </c>
      <c r="E181">
        <f>'Übersicht Score Index'!C181*Rezepte!AR181</f>
        <v>0</v>
      </c>
      <c r="F181">
        <f>'Übersicht Score Index'!D181*Rezepte!AP181</f>
        <v>0</v>
      </c>
      <c r="G181">
        <f>'Übersicht Score Index'!D181*Rezepte!AQ181</f>
        <v>0</v>
      </c>
      <c r="H181">
        <f>'Übersicht Score Index'!D181*Rezepte!AR181</f>
        <v>0</v>
      </c>
      <c r="I181">
        <f>'Übersicht Score Index'!E181*Rezepte!AP181</f>
        <v>0</v>
      </c>
      <c r="J181">
        <f>'Übersicht Score Index'!E181*Rezepte!AQ181</f>
        <v>0</v>
      </c>
      <c r="K181">
        <f>'Übersicht Score Index'!E181*Rezepte!AR181</f>
        <v>0</v>
      </c>
      <c r="L181">
        <f>'Übersicht Score Index'!F181*Rezepte!AP181</f>
        <v>0</v>
      </c>
      <c r="M181">
        <f>'Übersicht Score Index'!F181*Rezepte!AQ181</f>
        <v>0</v>
      </c>
      <c r="N181">
        <f>'Übersicht Score Index'!F181*Rezepte!AR181</f>
        <v>0</v>
      </c>
      <c r="O181">
        <f>'Übersicht Score Index'!G181*Rezepte!AP181</f>
        <v>0</v>
      </c>
      <c r="P181">
        <f>'Übersicht Score Index'!G181*Rezepte!AQ181</f>
        <v>0</v>
      </c>
      <c r="Q181">
        <f>'Übersicht Score Index'!G181*Rezepte!AR181</f>
        <v>0</v>
      </c>
      <c r="R181">
        <f>'Übersicht Score Index'!H181*Rezepte!AP181</f>
        <v>0</v>
      </c>
      <c r="S181">
        <f>'Übersicht Score Index'!H181*Rezepte!AQ181</f>
        <v>0</v>
      </c>
      <c r="T181">
        <f>'Übersicht Score Index'!H181*Rezepte!AR181</f>
        <v>0</v>
      </c>
      <c r="U181">
        <f>'Übersicht Score Index'!I181*Rezepte!AP181</f>
        <v>0</v>
      </c>
      <c r="V181">
        <f>'Übersicht Score Index'!I181*Rezepte!AQ181</f>
        <v>0</v>
      </c>
      <c r="W181">
        <f>'Übersicht Score Index'!I181*Rezepte!AR181</f>
        <v>0</v>
      </c>
    </row>
    <row r="182" spans="1:23" x14ac:dyDescent="0.3">
      <c r="A182" s="2" t="s">
        <v>368</v>
      </c>
      <c r="B182" s="2" t="s">
        <v>369</v>
      </c>
      <c r="C182">
        <f>'Übersicht Score Index'!C182*Rezepte!AP182</f>
        <v>0</v>
      </c>
      <c r="D182">
        <f>'Übersicht Score Index'!C182*Rezepte!AQ182</f>
        <v>0</v>
      </c>
      <c r="E182">
        <f>'Übersicht Score Index'!C182*Rezepte!AR182</f>
        <v>0</v>
      </c>
      <c r="F182">
        <f>'Übersicht Score Index'!D182*Rezepte!AP182</f>
        <v>0</v>
      </c>
      <c r="G182">
        <f>'Übersicht Score Index'!D182*Rezepte!AQ182</f>
        <v>0</v>
      </c>
      <c r="H182">
        <f>'Übersicht Score Index'!D182*Rezepte!AR182</f>
        <v>0</v>
      </c>
      <c r="I182">
        <f>'Übersicht Score Index'!E182*Rezepte!AP182</f>
        <v>0</v>
      </c>
      <c r="J182">
        <f>'Übersicht Score Index'!E182*Rezepte!AQ182</f>
        <v>0</v>
      </c>
      <c r="K182">
        <f>'Übersicht Score Index'!E182*Rezepte!AR182</f>
        <v>0</v>
      </c>
      <c r="L182">
        <f>'Übersicht Score Index'!F182*Rezepte!AP182</f>
        <v>0</v>
      </c>
      <c r="M182">
        <f>'Übersicht Score Index'!F182*Rezepte!AQ182</f>
        <v>0</v>
      </c>
      <c r="N182">
        <f>'Übersicht Score Index'!F182*Rezepte!AR182</f>
        <v>0</v>
      </c>
      <c r="O182">
        <f>'Übersicht Score Index'!G182*Rezepte!AP182</f>
        <v>0</v>
      </c>
      <c r="P182">
        <f>'Übersicht Score Index'!G182*Rezepte!AQ182</f>
        <v>0</v>
      </c>
      <c r="Q182">
        <f>'Übersicht Score Index'!G182*Rezepte!AR182</f>
        <v>0</v>
      </c>
      <c r="R182">
        <f>'Übersicht Score Index'!H182*Rezepte!AP182</f>
        <v>0</v>
      </c>
      <c r="S182">
        <f>'Übersicht Score Index'!H182*Rezepte!AQ182</f>
        <v>0</v>
      </c>
      <c r="T182">
        <f>'Übersicht Score Index'!H182*Rezepte!AR182</f>
        <v>0</v>
      </c>
      <c r="U182">
        <f>'Übersicht Score Index'!I182*Rezepte!AP182</f>
        <v>0</v>
      </c>
      <c r="V182">
        <f>'Übersicht Score Index'!I182*Rezepte!AQ182</f>
        <v>0</v>
      </c>
      <c r="W182">
        <f>'Übersicht Score Index'!I182*Rezepte!AR182</f>
        <v>0</v>
      </c>
    </row>
    <row r="183" spans="1:23" x14ac:dyDescent="0.3">
      <c r="A183" s="2" t="s">
        <v>370</v>
      </c>
      <c r="B183" s="2" t="s">
        <v>371</v>
      </c>
      <c r="C183">
        <f>'Übersicht Score Index'!C183*Rezepte!AP183</f>
        <v>0</v>
      </c>
      <c r="D183">
        <f>'Übersicht Score Index'!C183*Rezepte!AQ183</f>
        <v>0</v>
      </c>
      <c r="E183">
        <f>'Übersicht Score Index'!C183*Rezepte!AR183</f>
        <v>0</v>
      </c>
      <c r="F183">
        <f>'Übersicht Score Index'!D183*Rezepte!AP183</f>
        <v>0</v>
      </c>
      <c r="G183">
        <f>'Übersicht Score Index'!D183*Rezepte!AQ183</f>
        <v>0</v>
      </c>
      <c r="H183">
        <f>'Übersicht Score Index'!D183*Rezepte!AR183</f>
        <v>0</v>
      </c>
      <c r="I183">
        <f>'Übersicht Score Index'!E183*Rezepte!AP183</f>
        <v>0</v>
      </c>
      <c r="J183">
        <f>'Übersicht Score Index'!E183*Rezepte!AQ183</f>
        <v>0</v>
      </c>
      <c r="K183">
        <f>'Übersicht Score Index'!E183*Rezepte!AR183</f>
        <v>0</v>
      </c>
      <c r="L183">
        <f>'Übersicht Score Index'!F183*Rezepte!AP183</f>
        <v>0</v>
      </c>
      <c r="M183">
        <f>'Übersicht Score Index'!F183*Rezepte!AQ183</f>
        <v>0</v>
      </c>
      <c r="N183">
        <f>'Übersicht Score Index'!F183*Rezepte!AR183</f>
        <v>0</v>
      </c>
      <c r="O183">
        <f>'Übersicht Score Index'!G183*Rezepte!AP183</f>
        <v>0</v>
      </c>
      <c r="P183">
        <f>'Übersicht Score Index'!G183*Rezepte!AQ183</f>
        <v>0</v>
      </c>
      <c r="Q183">
        <f>'Übersicht Score Index'!G183*Rezepte!AR183</f>
        <v>0</v>
      </c>
      <c r="R183">
        <f>'Übersicht Score Index'!H183*Rezepte!AP183</f>
        <v>0</v>
      </c>
      <c r="S183">
        <f>'Übersicht Score Index'!H183*Rezepte!AQ183</f>
        <v>0</v>
      </c>
      <c r="T183">
        <f>'Übersicht Score Index'!H183*Rezepte!AR183</f>
        <v>0</v>
      </c>
      <c r="U183">
        <f>'Übersicht Score Index'!I183*Rezepte!AP183</f>
        <v>0</v>
      </c>
      <c r="V183">
        <f>'Übersicht Score Index'!I183*Rezepte!AQ183</f>
        <v>0</v>
      </c>
      <c r="W183">
        <f>'Übersicht Score Index'!I183*Rezepte!AR183</f>
        <v>0</v>
      </c>
    </row>
    <row r="184" spans="1:23" x14ac:dyDescent="0.3">
      <c r="A184" s="2" t="s">
        <v>372</v>
      </c>
      <c r="B184" s="2" t="s">
        <v>373</v>
      </c>
      <c r="C184">
        <f>'Übersicht Score Index'!C184*Rezepte!AP184</f>
        <v>0</v>
      </c>
      <c r="D184">
        <f>'Übersicht Score Index'!C184*Rezepte!AQ184</f>
        <v>0</v>
      </c>
      <c r="E184">
        <f>'Übersicht Score Index'!C184*Rezepte!AR184</f>
        <v>0</v>
      </c>
      <c r="F184">
        <f>'Übersicht Score Index'!D184*Rezepte!AP184</f>
        <v>0</v>
      </c>
      <c r="G184">
        <f>'Übersicht Score Index'!D184*Rezepte!AQ184</f>
        <v>0</v>
      </c>
      <c r="H184">
        <f>'Übersicht Score Index'!D184*Rezepte!AR184</f>
        <v>0</v>
      </c>
      <c r="I184">
        <f>'Übersicht Score Index'!E184*Rezepte!AP184</f>
        <v>0</v>
      </c>
      <c r="J184">
        <f>'Übersicht Score Index'!E184*Rezepte!AQ184</f>
        <v>0</v>
      </c>
      <c r="K184">
        <f>'Übersicht Score Index'!E184*Rezepte!AR184</f>
        <v>0</v>
      </c>
      <c r="L184">
        <f>'Übersicht Score Index'!F184*Rezepte!AP184</f>
        <v>0</v>
      </c>
      <c r="M184">
        <f>'Übersicht Score Index'!F184*Rezepte!AQ184</f>
        <v>0</v>
      </c>
      <c r="N184">
        <f>'Übersicht Score Index'!F184*Rezepte!AR184</f>
        <v>0</v>
      </c>
      <c r="O184">
        <f>'Übersicht Score Index'!G184*Rezepte!AP184</f>
        <v>0</v>
      </c>
      <c r="P184">
        <f>'Übersicht Score Index'!G184*Rezepte!AQ184</f>
        <v>0</v>
      </c>
      <c r="Q184">
        <f>'Übersicht Score Index'!G184*Rezepte!AR184</f>
        <v>0</v>
      </c>
      <c r="R184">
        <f>'Übersicht Score Index'!H184*Rezepte!AP184</f>
        <v>0</v>
      </c>
      <c r="S184">
        <f>'Übersicht Score Index'!H184*Rezepte!AQ184</f>
        <v>0</v>
      </c>
      <c r="T184">
        <f>'Übersicht Score Index'!H184*Rezepte!AR184</f>
        <v>0</v>
      </c>
      <c r="U184">
        <f>'Übersicht Score Index'!I184*Rezepte!AP184</f>
        <v>0</v>
      </c>
      <c r="V184">
        <f>'Übersicht Score Index'!I184*Rezepte!AQ184</f>
        <v>0</v>
      </c>
      <c r="W184">
        <f>'Übersicht Score Index'!I184*Rezepte!AR184</f>
        <v>0</v>
      </c>
    </row>
    <row r="185" spans="1:23" x14ac:dyDescent="0.3">
      <c r="A185" s="2" t="s">
        <v>374</v>
      </c>
      <c r="B185" s="2" t="s">
        <v>375</v>
      </c>
      <c r="C185">
        <f>'Übersicht Score Index'!C185*Rezepte!AP185</f>
        <v>0</v>
      </c>
      <c r="D185">
        <f>'Übersicht Score Index'!C185*Rezepte!AQ185</f>
        <v>0</v>
      </c>
      <c r="E185">
        <f>'Übersicht Score Index'!C185*Rezepte!AR185</f>
        <v>0</v>
      </c>
      <c r="F185">
        <f>'Übersicht Score Index'!D185*Rezepte!AP185</f>
        <v>0</v>
      </c>
      <c r="G185">
        <f>'Übersicht Score Index'!D185*Rezepte!AQ185</f>
        <v>0</v>
      </c>
      <c r="H185">
        <f>'Übersicht Score Index'!D185*Rezepte!AR185</f>
        <v>0</v>
      </c>
      <c r="I185">
        <f>'Übersicht Score Index'!E185*Rezepte!AP185</f>
        <v>0</v>
      </c>
      <c r="J185">
        <f>'Übersicht Score Index'!E185*Rezepte!AQ185</f>
        <v>0</v>
      </c>
      <c r="K185">
        <f>'Übersicht Score Index'!E185*Rezepte!AR185</f>
        <v>0</v>
      </c>
      <c r="L185">
        <f>'Übersicht Score Index'!F185*Rezepte!AP185</f>
        <v>0</v>
      </c>
      <c r="M185">
        <f>'Übersicht Score Index'!F185*Rezepte!AQ185</f>
        <v>0</v>
      </c>
      <c r="N185">
        <f>'Übersicht Score Index'!F185*Rezepte!AR185</f>
        <v>0</v>
      </c>
      <c r="O185">
        <f>'Übersicht Score Index'!G185*Rezepte!AP185</f>
        <v>0</v>
      </c>
      <c r="P185">
        <f>'Übersicht Score Index'!G185*Rezepte!AQ185</f>
        <v>0</v>
      </c>
      <c r="Q185">
        <f>'Übersicht Score Index'!G185*Rezepte!AR185</f>
        <v>0</v>
      </c>
      <c r="R185">
        <f>'Übersicht Score Index'!H185*Rezepte!AP185</f>
        <v>0</v>
      </c>
      <c r="S185">
        <f>'Übersicht Score Index'!H185*Rezepte!AQ185</f>
        <v>0</v>
      </c>
      <c r="T185">
        <f>'Übersicht Score Index'!H185*Rezepte!AR185</f>
        <v>0</v>
      </c>
      <c r="U185">
        <f>'Übersicht Score Index'!I185*Rezepte!AP185</f>
        <v>0</v>
      </c>
      <c r="V185">
        <f>'Übersicht Score Index'!I185*Rezepte!AQ185</f>
        <v>0</v>
      </c>
      <c r="W185">
        <f>'Übersicht Score Index'!I185*Rezepte!AR185</f>
        <v>0</v>
      </c>
    </row>
    <row r="186" spans="1:23" x14ac:dyDescent="0.3">
      <c r="A186" s="2" t="s">
        <v>376</v>
      </c>
      <c r="B186" s="2" t="s">
        <v>377</v>
      </c>
      <c r="C186">
        <f>'Übersicht Score Index'!C186*Rezepte!AP186</f>
        <v>0</v>
      </c>
      <c r="D186">
        <f>'Übersicht Score Index'!C186*Rezepte!AQ186</f>
        <v>0</v>
      </c>
      <c r="E186">
        <f>'Übersicht Score Index'!C186*Rezepte!AR186</f>
        <v>0</v>
      </c>
      <c r="F186">
        <f>'Übersicht Score Index'!D186*Rezepte!AP186</f>
        <v>0</v>
      </c>
      <c r="G186">
        <f>'Übersicht Score Index'!D186*Rezepte!AQ186</f>
        <v>0</v>
      </c>
      <c r="H186">
        <f>'Übersicht Score Index'!D186*Rezepte!AR186</f>
        <v>0</v>
      </c>
      <c r="I186">
        <f>'Übersicht Score Index'!E186*Rezepte!AP186</f>
        <v>0</v>
      </c>
      <c r="J186">
        <f>'Übersicht Score Index'!E186*Rezepte!AQ186</f>
        <v>0</v>
      </c>
      <c r="K186">
        <f>'Übersicht Score Index'!E186*Rezepte!AR186</f>
        <v>0</v>
      </c>
      <c r="L186">
        <f>'Übersicht Score Index'!F186*Rezepte!AP186</f>
        <v>0</v>
      </c>
      <c r="M186">
        <f>'Übersicht Score Index'!F186*Rezepte!AQ186</f>
        <v>0</v>
      </c>
      <c r="N186">
        <f>'Übersicht Score Index'!F186*Rezepte!AR186</f>
        <v>0</v>
      </c>
      <c r="O186">
        <f>'Übersicht Score Index'!G186*Rezepte!AP186</f>
        <v>0</v>
      </c>
      <c r="P186">
        <f>'Übersicht Score Index'!G186*Rezepte!AQ186</f>
        <v>0</v>
      </c>
      <c r="Q186">
        <f>'Übersicht Score Index'!G186*Rezepte!AR186</f>
        <v>0</v>
      </c>
      <c r="R186">
        <f>'Übersicht Score Index'!H186*Rezepte!AP186</f>
        <v>0</v>
      </c>
      <c r="S186">
        <f>'Übersicht Score Index'!H186*Rezepte!AQ186</f>
        <v>0</v>
      </c>
      <c r="T186">
        <f>'Übersicht Score Index'!H186*Rezepte!AR186</f>
        <v>0</v>
      </c>
      <c r="U186">
        <f>'Übersicht Score Index'!I186*Rezepte!AP186</f>
        <v>0</v>
      </c>
      <c r="V186">
        <f>'Übersicht Score Index'!I186*Rezepte!AQ186</f>
        <v>0</v>
      </c>
      <c r="W186">
        <f>'Übersicht Score Index'!I186*Rezepte!AR186</f>
        <v>0</v>
      </c>
    </row>
    <row r="187" spans="1:23" x14ac:dyDescent="0.3">
      <c r="A187" s="2" t="s">
        <v>378</v>
      </c>
      <c r="B187" s="2" t="s">
        <v>379</v>
      </c>
      <c r="C187">
        <f>'Übersicht Score Index'!C187*Rezepte!AP187</f>
        <v>0</v>
      </c>
      <c r="D187">
        <f>'Übersicht Score Index'!C187*Rezepte!AQ187</f>
        <v>0</v>
      </c>
      <c r="E187">
        <f>'Übersicht Score Index'!C187*Rezepte!AR187</f>
        <v>0</v>
      </c>
      <c r="F187">
        <f>'Übersicht Score Index'!D187*Rezepte!AP187</f>
        <v>0</v>
      </c>
      <c r="G187">
        <f>'Übersicht Score Index'!D187*Rezepte!AQ187</f>
        <v>0</v>
      </c>
      <c r="H187">
        <f>'Übersicht Score Index'!D187*Rezepte!AR187</f>
        <v>0</v>
      </c>
      <c r="I187">
        <f>'Übersicht Score Index'!E187*Rezepte!AP187</f>
        <v>0</v>
      </c>
      <c r="J187">
        <f>'Übersicht Score Index'!E187*Rezepte!AQ187</f>
        <v>0</v>
      </c>
      <c r="K187">
        <f>'Übersicht Score Index'!E187*Rezepte!AR187</f>
        <v>0</v>
      </c>
      <c r="L187">
        <f>'Übersicht Score Index'!F187*Rezepte!AP187</f>
        <v>0</v>
      </c>
      <c r="M187">
        <f>'Übersicht Score Index'!F187*Rezepte!AQ187</f>
        <v>0</v>
      </c>
      <c r="N187">
        <f>'Übersicht Score Index'!F187*Rezepte!AR187</f>
        <v>0</v>
      </c>
      <c r="O187">
        <f>'Übersicht Score Index'!G187*Rezepte!AP187</f>
        <v>0</v>
      </c>
      <c r="P187">
        <f>'Übersicht Score Index'!G187*Rezepte!AQ187</f>
        <v>0</v>
      </c>
      <c r="Q187">
        <f>'Übersicht Score Index'!G187*Rezepte!AR187</f>
        <v>0</v>
      </c>
      <c r="R187">
        <f>'Übersicht Score Index'!H187*Rezepte!AP187</f>
        <v>0</v>
      </c>
      <c r="S187">
        <f>'Übersicht Score Index'!H187*Rezepte!AQ187</f>
        <v>0</v>
      </c>
      <c r="T187">
        <f>'Übersicht Score Index'!H187*Rezepte!AR187</f>
        <v>0</v>
      </c>
      <c r="U187">
        <f>'Übersicht Score Index'!I187*Rezepte!AP187</f>
        <v>0</v>
      </c>
      <c r="V187">
        <f>'Übersicht Score Index'!I187*Rezepte!AQ187</f>
        <v>0</v>
      </c>
      <c r="W187">
        <f>'Übersicht Score Index'!I187*Rezepte!AR187</f>
        <v>0</v>
      </c>
    </row>
    <row r="188" spans="1:23" x14ac:dyDescent="0.3">
      <c r="A188" s="2" t="s">
        <v>380</v>
      </c>
      <c r="B188" s="2" t="s">
        <v>381</v>
      </c>
      <c r="C188">
        <f>'Übersicht Score Index'!C188*Rezepte!AP188</f>
        <v>0</v>
      </c>
      <c r="D188">
        <f>'Übersicht Score Index'!C188*Rezepte!AQ188</f>
        <v>0</v>
      </c>
      <c r="E188">
        <f>'Übersicht Score Index'!C188*Rezepte!AR188</f>
        <v>0</v>
      </c>
      <c r="F188">
        <f>'Übersicht Score Index'!D188*Rezepte!AP188</f>
        <v>0</v>
      </c>
      <c r="G188">
        <f>'Übersicht Score Index'!D188*Rezepte!AQ188</f>
        <v>0</v>
      </c>
      <c r="H188">
        <f>'Übersicht Score Index'!D188*Rezepte!AR188</f>
        <v>0</v>
      </c>
      <c r="I188">
        <f>'Übersicht Score Index'!E188*Rezepte!AP188</f>
        <v>0</v>
      </c>
      <c r="J188">
        <f>'Übersicht Score Index'!E188*Rezepte!AQ188</f>
        <v>0</v>
      </c>
      <c r="K188">
        <f>'Übersicht Score Index'!E188*Rezepte!AR188</f>
        <v>0</v>
      </c>
      <c r="L188">
        <f>'Übersicht Score Index'!F188*Rezepte!AP188</f>
        <v>0</v>
      </c>
      <c r="M188">
        <f>'Übersicht Score Index'!F188*Rezepte!AQ188</f>
        <v>0</v>
      </c>
      <c r="N188">
        <f>'Übersicht Score Index'!F188*Rezepte!AR188</f>
        <v>0</v>
      </c>
      <c r="O188">
        <f>'Übersicht Score Index'!G188*Rezepte!AP188</f>
        <v>0</v>
      </c>
      <c r="P188">
        <f>'Übersicht Score Index'!G188*Rezepte!AQ188</f>
        <v>0</v>
      </c>
      <c r="Q188">
        <f>'Übersicht Score Index'!G188*Rezepte!AR188</f>
        <v>0</v>
      </c>
      <c r="R188">
        <f>'Übersicht Score Index'!H188*Rezepte!AP188</f>
        <v>0</v>
      </c>
      <c r="S188">
        <f>'Übersicht Score Index'!H188*Rezepte!AQ188</f>
        <v>0</v>
      </c>
      <c r="T188">
        <f>'Übersicht Score Index'!H188*Rezepte!AR188</f>
        <v>0</v>
      </c>
      <c r="U188">
        <f>'Übersicht Score Index'!I188*Rezepte!AP188</f>
        <v>0</v>
      </c>
      <c r="V188">
        <f>'Übersicht Score Index'!I188*Rezepte!AQ188</f>
        <v>0</v>
      </c>
      <c r="W188">
        <f>'Übersicht Score Index'!I188*Rezepte!AR188</f>
        <v>0</v>
      </c>
    </row>
    <row r="189" spans="1:23" x14ac:dyDescent="0.3">
      <c r="A189" s="2" t="s">
        <v>382</v>
      </c>
      <c r="B189" s="2" t="s">
        <v>383</v>
      </c>
      <c r="C189">
        <f>'Übersicht Score Index'!C189*Rezepte!AP189</f>
        <v>0</v>
      </c>
      <c r="D189">
        <f>'Übersicht Score Index'!C189*Rezepte!AQ189</f>
        <v>0</v>
      </c>
      <c r="E189">
        <f>'Übersicht Score Index'!C189*Rezepte!AR189</f>
        <v>0</v>
      </c>
      <c r="F189">
        <f>'Übersicht Score Index'!D189*Rezepte!AP189</f>
        <v>0</v>
      </c>
      <c r="G189">
        <f>'Übersicht Score Index'!D189*Rezepte!AQ189</f>
        <v>0</v>
      </c>
      <c r="H189">
        <f>'Übersicht Score Index'!D189*Rezepte!AR189</f>
        <v>0</v>
      </c>
      <c r="I189">
        <f>'Übersicht Score Index'!E189*Rezepte!AP189</f>
        <v>0</v>
      </c>
      <c r="J189">
        <f>'Übersicht Score Index'!E189*Rezepte!AQ189</f>
        <v>0</v>
      </c>
      <c r="K189">
        <f>'Übersicht Score Index'!E189*Rezepte!AR189</f>
        <v>0</v>
      </c>
      <c r="L189">
        <f>'Übersicht Score Index'!F189*Rezepte!AP189</f>
        <v>0</v>
      </c>
      <c r="M189">
        <f>'Übersicht Score Index'!F189*Rezepte!AQ189</f>
        <v>0</v>
      </c>
      <c r="N189">
        <f>'Übersicht Score Index'!F189*Rezepte!AR189</f>
        <v>0</v>
      </c>
      <c r="O189">
        <f>'Übersicht Score Index'!G189*Rezepte!AP189</f>
        <v>0</v>
      </c>
      <c r="P189">
        <f>'Übersicht Score Index'!G189*Rezepte!AQ189</f>
        <v>0</v>
      </c>
      <c r="Q189">
        <f>'Übersicht Score Index'!G189*Rezepte!AR189</f>
        <v>0</v>
      </c>
      <c r="R189">
        <f>'Übersicht Score Index'!H189*Rezepte!AP189</f>
        <v>0</v>
      </c>
      <c r="S189">
        <f>'Übersicht Score Index'!H189*Rezepte!AQ189</f>
        <v>0</v>
      </c>
      <c r="T189">
        <f>'Übersicht Score Index'!H189*Rezepte!AR189</f>
        <v>0</v>
      </c>
      <c r="U189">
        <f>'Übersicht Score Index'!I189*Rezepte!AP189</f>
        <v>0</v>
      </c>
      <c r="V189">
        <f>'Übersicht Score Index'!I189*Rezepte!AQ189</f>
        <v>0</v>
      </c>
      <c r="W189">
        <f>'Übersicht Score Index'!I189*Rezepte!AR189</f>
        <v>0</v>
      </c>
    </row>
    <row r="190" spans="1:23" x14ac:dyDescent="0.3">
      <c r="A190" s="2" t="s">
        <v>384</v>
      </c>
      <c r="B190" s="2" t="s">
        <v>385</v>
      </c>
      <c r="C190">
        <f>'Übersicht Score Index'!C190*Rezepte!AP190</f>
        <v>0</v>
      </c>
      <c r="D190">
        <f>'Übersicht Score Index'!C190*Rezepte!AQ190</f>
        <v>0</v>
      </c>
      <c r="E190">
        <f>'Übersicht Score Index'!C190*Rezepte!AR190</f>
        <v>0</v>
      </c>
      <c r="F190">
        <f>'Übersicht Score Index'!D190*Rezepte!AP190</f>
        <v>0</v>
      </c>
      <c r="G190">
        <f>'Übersicht Score Index'!D190*Rezepte!AQ190</f>
        <v>0</v>
      </c>
      <c r="H190">
        <f>'Übersicht Score Index'!D190*Rezepte!AR190</f>
        <v>0</v>
      </c>
      <c r="I190">
        <f>'Übersicht Score Index'!E190*Rezepte!AP190</f>
        <v>0</v>
      </c>
      <c r="J190">
        <f>'Übersicht Score Index'!E190*Rezepte!AQ190</f>
        <v>0</v>
      </c>
      <c r="K190">
        <f>'Übersicht Score Index'!E190*Rezepte!AR190</f>
        <v>0</v>
      </c>
      <c r="L190">
        <f>'Übersicht Score Index'!F190*Rezepte!AP190</f>
        <v>0</v>
      </c>
      <c r="M190">
        <f>'Übersicht Score Index'!F190*Rezepte!AQ190</f>
        <v>0</v>
      </c>
      <c r="N190">
        <f>'Übersicht Score Index'!F190*Rezepte!AR190</f>
        <v>0</v>
      </c>
      <c r="O190">
        <f>'Übersicht Score Index'!G190*Rezepte!AP190</f>
        <v>0</v>
      </c>
      <c r="P190">
        <f>'Übersicht Score Index'!G190*Rezepte!AQ190</f>
        <v>0</v>
      </c>
      <c r="Q190">
        <f>'Übersicht Score Index'!G190*Rezepte!AR190</f>
        <v>0</v>
      </c>
      <c r="R190">
        <f>'Übersicht Score Index'!H190*Rezepte!AP190</f>
        <v>0</v>
      </c>
      <c r="S190">
        <f>'Übersicht Score Index'!H190*Rezepte!AQ190</f>
        <v>0</v>
      </c>
      <c r="T190">
        <f>'Übersicht Score Index'!H190*Rezepte!AR190</f>
        <v>0</v>
      </c>
      <c r="U190">
        <f>'Übersicht Score Index'!I190*Rezepte!AP190</f>
        <v>0</v>
      </c>
      <c r="V190">
        <f>'Übersicht Score Index'!I190*Rezepte!AQ190</f>
        <v>0</v>
      </c>
      <c r="W190">
        <f>'Übersicht Score Index'!I190*Rezepte!AR190</f>
        <v>0</v>
      </c>
    </row>
    <row r="191" spans="1:23" x14ac:dyDescent="0.3">
      <c r="A191" s="2" t="s">
        <v>386</v>
      </c>
      <c r="B191" s="2" t="s">
        <v>387</v>
      </c>
      <c r="C191">
        <f>'Übersicht Score Index'!C191*Rezepte!AP191</f>
        <v>0</v>
      </c>
      <c r="D191">
        <f>'Übersicht Score Index'!C191*Rezepte!AQ191</f>
        <v>0</v>
      </c>
      <c r="E191">
        <f>'Übersicht Score Index'!C191*Rezepte!AR191</f>
        <v>0</v>
      </c>
      <c r="F191">
        <f>'Übersicht Score Index'!D191*Rezepte!AP191</f>
        <v>0</v>
      </c>
      <c r="G191">
        <f>'Übersicht Score Index'!D191*Rezepte!AQ191</f>
        <v>0</v>
      </c>
      <c r="H191">
        <f>'Übersicht Score Index'!D191*Rezepte!AR191</f>
        <v>0</v>
      </c>
      <c r="I191">
        <f>'Übersicht Score Index'!E191*Rezepte!AP191</f>
        <v>0</v>
      </c>
      <c r="J191">
        <f>'Übersicht Score Index'!E191*Rezepte!AQ191</f>
        <v>0</v>
      </c>
      <c r="K191">
        <f>'Übersicht Score Index'!E191*Rezepte!AR191</f>
        <v>0</v>
      </c>
      <c r="L191">
        <f>'Übersicht Score Index'!F191*Rezepte!AP191</f>
        <v>0</v>
      </c>
      <c r="M191">
        <f>'Übersicht Score Index'!F191*Rezepte!AQ191</f>
        <v>0</v>
      </c>
      <c r="N191">
        <f>'Übersicht Score Index'!F191*Rezepte!AR191</f>
        <v>0</v>
      </c>
      <c r="O191">
        <f>'Übersicht Score Index'!G191*Rezepte!AP191</f>
        <v>0</v>
      </c>
      <c r="P191">
        <f>'Übersicht Score Index'!G191*Rezepte!AQ191</f>
        <v>0</v>
      </c>
      <c r="Q191">
        <f>'Übersicht Score Index'!G191*Rezepte!AR191</f>
        <v>0</v>
      </c>
      <c r="R191">
        <f>'Übersicht Score Index'!H191*Rezepte!AP191</f>
        <v>0</v>
      </c>
      <c r="S191">
        <f>'Übersicht Score Index'!H191*Rezepte!AQ191</f>
        <v>0</v>
      </c>
      <c r="T191">
        <f>'Übersicht Score Index'!H191*Rezepte!AR191</f>
        <v>0</v>
      </c>
      <c r="U191">
        <f>'Übersicht Score Index'!I191*Rezepte!AP191</f>
        <v>0</v>
      </c>
      <c r="V191">
        <f>'Übersicht Score Index'!I191*Rezepte!AQ191</f>
        <v>0</v>
      </c>
      <c r="W191">
        <f>'Übersicht Score Index'!I191*Rezepte!AR191</f>
        <v>0</v>
      </c>
    </row>
    <row r="192" spans="1:23" x14ac:dyDescent="0.3">
      <c r="A192" s="2" t="s">
        <v>388</v>
      </c>
      <c r="B192" s="2" t="s">
        <v>389</v>
      </c>
      <c r="C192">
        <f>'Übersicht Score Index'!C192*Rezepte!AP192</f>
        <v>0</v>
      </c>
      <c r="D192">
        <f>'Übersicht Score Index'!C192*Rezepte!AQ192</f>
        <v>0</v>
      </c>
      <c r="E192">
        <f>'Übersicht Score Index'!C192*Rezepte!AR192</f>
        <v>0</v>
      </c>
      <c r="F192">
        <f>'Übersicht Score Index'!D192*Rezepte!AP192</f>
        <v>0</v>
      </c>
      <c r="G192">
        <f>'Übersicht Score Index'!D192*Rezepte!AQ192</f>
        <v>0</v>
      </c>
      <c r="H192">
        <f>'Übersicht Score Index'!D192*Rezepte!AR192</f>
        <v>0</v>
      </c>
      <c r="I192">
        <f>'Übersicht Score Index'!E192*Rezepte!AP192</f>
        <v>0</v>
      </c>
      <c r="J192">
        <f>'Übersicht Score Index'!E192*Rezepte!AQ192</f>
        <v>0</v>
      </c>
      <c r="K192">
        <f>'Übersicht Score Index'!E192*Rezepte!AR192</f>
        <v>0</v>
      </c>
      <c r="L192">
        <f>'Übersicht Score Index'!F192*Rezepte!AP192</f>
        <v>0</v>
      </c>
      <c r="M192">
        <f>'Übersicht Score Index'!F192*Rezepte!AQ192</f>
        <v>0</v>
      </c>
      <c r="N192">
        <f>'Übersicht Score Index'!F192*Rezepte!AR192</f>
        <v>0</v>
      </c>
      <c r="O192">
        <f>'Übersicht Score Index'!G192*Rezepte!AP192</f>
        <v>0</v>
      </c>
      <c r="P192">
        <f>'Übersicht Score Index'!G192*Rezepte!AQ192</f>
        <v>0</v>
      </c>
      <c r="Q192">
        <f>'Übersicht Score Index'!G192*Rezepte!AR192</f>
        <v>0</v>
      </c>
      <c r="R192">
        <f>'Übersicht Score Index'!H192*Rezepte!AP192</f>
        <v>0</v>
      </c>
      <c r="S192">
        <f>'Übersicht Score Index'!H192*Rezepte!AQ192</f>
        <v>0</v>
      </c>
      <c r="T192">
        <f>'Übersicht Score Index'!H192*Rezepte!AR192</f>
        <v>0</v>
      </c>
      <c r="U192">
        <f>'Übersicht Score Index'!I192*Rezepte!AP192</f>
        <v>0</v>
      </c>
      <c r="V192">
        <f>'Übersicht Score Index'!I192*Rezepte!AQ192</f>
        <v>0</v>
      </c>
      <c r="W192">
        <f>'Übersicht Score Index'!I192*Rezepte!AR192</f>
        <v>0</v>
      </c>
    </row>
    <row r="193" spans="1:23" x14ac:dyDescent="0.3">
      <c r="A193" s="2" t="s">
        <v>390</v>
      </c>
      <c r="B193" s="2" t="s">
        <v>391</v>
      </c>
      <c r="C193">
        <f>'Übersicht Score Index'!C193*Rezepte!AP193</f>
        <v>0</v>
      </c>
      <c r="D193">
        <f>'Übersicht Score Index'!C193*Rezepte!AQ193</f>
        <v>0</v>
      </c>
      <c r="E193">
        <f>'Übersicht Score Index'!C193*Rezepte!AR193</f>
        <v>0</v>
      </c>
      <c r="F193">
        <f>'Übersicht Score Index'!D193*Rezepte!AP193</f>
        <v>0</v>
      </c>
      <c r="G193">
        <f>'Übersicht Score Index'!D193*Rezepte!AQ193</f>
        <v>0</v>
      </c>
      <c r="H193">
        <f>'Übersicht Score Index'!D193*Rezepte!AR193</f>
        <v>0</v>
      </c>
      <c r="I193">
        <f>'Übersicht Score Index'!E193*Rezepte!AP193</f>
        <v>0</v>
      </c>
      <c r="J193">
        <f>'Übersicht Score Index'!E193*Rezepte!AQ193</f>
        <v>0</v>
      </c>
      <c r="K193">
        <f>'Übersicht Score Index'!E193*Rezepte!AR193</f>
        <v>0</v>
      </c>
      <c r="L193">
        <f>'Übersicht Score Index'!F193*Rezepte!AP193</f>
        <v>0</v>
      </c>
      <c r="M193">
        <f>'Übersicht Score Index'!F193*Rezepte!AQ193</f>
        <v>0</v>
      </c>
      <c r="N193">
        <f>'Übersicht Score Index'!F193*Rezepte!AR193</f>
        <v>0</v>
      </c>
      <c r="O193">
        <f>'Übersicht Score Index'!G193*Rezepte!AP193</f>
        <v>0</v>
      </c>
      <c r="P193">
        <f>'Übersicht Score Index'!G193*Rezepte!AQ193</f>
        <v>0</v>
      </c>
      <c r="Q193">
        <f>'Übersicht Score Index'!G193*Rezepte!AR193</f>
        <v>0</v>
      </c>
      <c r="R193">
        <f>'Übersicht Score Index'!H193*Rezepte!AP193</f>
        <v>0</v>
      </c>
      <c r="S193">
        <f>'Übersicht Score Index'!H193*Rezepte!AQ193</f>
        <v>0</v>
      </c>
      <c r="T193">
        <f>'Übersicht Score Index'!H193*Rezepte!AR193</f>
        <v>0</v>
      </c>
      <c r="U193">
        <f>'Übersicht Score Index'!I193*Rezepte!AP193</f>
        <v>0</v>
      </c>
      <c r="V193">
        <f>'Übersicht Score Index'!I193*Rezepte!AQ193</f>
        <v>0</v>
      </c>
      <c r="W193">
        <f>'Übersicht Score Index'!I193*Rezepte!AR193</f>
        <v>0</v>
      </c>
    </row>
    <row r="194" spans="1:23" x14ac:dyDescent="0.3">
      <c r="A194" s="2" t="s">
        <v>392</v>
      </c>
      <c r="B194" s="2" t="s">
        <v>393</v>
      </c>
      <c r="C194">
        <f>'Übersicht Score Index'!C194*Rezepte!AP194</f>
        <v>0</v>
      </c>
      <c r="D194">
        <f>'Übersicht Score Index'!C194*Rezepte!AQ194</f>
        <v>0</v>
      </c>
      <c r="E194">
        <f>'Übersicht Score Index'!C194*Rezepte!AR194</f>
        <v>0</v>
      </c>
      <c r="F194">
        <f>'Übersicht Score Index'!D194*Rezepte!AP194</f>
        <v>0</v>
      </c>
      <c r="G194">
        <f>'Übersicht Score Index'!D194*Rezepte!AQ194</f>
        <v>0</v>
      </c>
      <c r="H194">
        <f>'Übersicht Score Index'!D194*Rezepte!AR194</f>
        <v>0</v>
      </c>
      <c r="I194">
        <f>'Übersicht Score Index'!E194*Rezepte!AP194</f>
        <v>0</v>
      </c>
      <c r="J194">
        <f>'Übersicht Score Index'!E194*Rezepte!AQ194</f>
        <v>0</v>
      </c>
      <c r="K194">
        <f>'Übersicht Score Index'!E194*Rezepte!AR194</f>
        <v>0</v>
      </c>
      <c r="L194">
        <f>'Übersicht Score Index'!F194*Rezepte!AP194</f>
        <v>0</v>
      </c>
      <c r="M194">
        <f>'Übersicht Score Index'!F194*Rezepte!AQ194</f>
        <v>0</v>
      </c>
      <c r="N194">
        <f>'Übersicht Score Index'!F194*Rezepte!AR194</f>
        <v>0</v>
      </c>
      <c r="O194">
        <f>'Übersicht Score Index'!G194*Rezepte!AP194</f>
        <v>0</v>
      </c>
      <c r="P194">
        <f>'Übersicht Score Index'!G194*Rezepte!AQ194</f>
        <v>0</v>
      </c>
      <c r="Q194">
        <f>'Übersicht Score Index'!G194*Rezepte!AR194</f>
        <v>0</v>
      </c>
      <c r="R194">
        <f>'Übersicht Score Index'!H194*Rezepte!AP194</f>
        <v>0</v>
      </c>
      <c r="S194">
        <f>'Übersicht Score Index'!H194*Rezepte!AQ194</f>
        <v>0</v>
      </c>
      <c r="T194">
        <f>'Übersicht Score Index'!H194*Rezepte!AR194</f>
        <v>0</v>
      </c>
      <c r="U194">
        <f>'Übersicht Score Index'!I194*Rezepte!AP194</f>
        <v>0</v>
      </c>
      <c r="V194">
        <f>'Übersicht Score Index'!I194*Rezepte!AQ194</f>
        <v>0</v>
      </c>
      <c r="W194">
        <f>'Übersicht Score Index'!I194*Rezepte!AR194</f>
        <v>0</v>
      </c>
    </row>
    <row r="195" spans="1:23" x14ac:dyDescent="0.3">
      <c r="A195" s="2" t="s">
        <v>394</v>
      </c>
      <c r="B195" s="2" t="s">
        <v>395</v>
      </c>
      <c r="C195">
        <f>'Übersicht Score Index'!C195*Rezepte!AP195</f>
        <v>0</v>
      </c>
      <c r="D195">
        <f>'Übersicht Score Index'!C195*Rezepte!AQ195</f>
        <v>0</v>
      </c>
      <c r="E195">
        <f>'Übersicht Score Index'!C195*Rezepte!AR195</f>
        <v>0</v>
      </c>
      <c r="F195">
        <f>'Übersicht Score Index'!D195*Rezepte!AP195</f>
        <v>0</v>
      </c>
      <c r="G195">
        <f>'Übersicht Score Index'!D195*Rezepte!AQ195</f>
        <v>0</v>
      </c>
      <c r="H195">
        <f>'Übersicht Score Index'!D195*Rezepte!AR195</f>
        <v>0</v>
      </c>
      <c r="I195">
        <f>'Übersicht Score Index'!E195*Rezepte!AP195</f>
        <v>0</v>
      </c>
      <c r="J195">
        <f>'Übersicht Score Index'!E195*Rezepte!AQ195</f>
        <v>0</v>
      </c>
      <c r="K195">
        <f>'Übersicht Score Index'!E195*Rezepte!AR195</f>
        <v>0</v>
      </c>
      <c r="L195">
        <f>'Übersicht Score Index'!F195*Rezepte!AP195</f>
        <v>0</v>
      </c>
      <c r="M195">
        <f>'Übersicht Score Index'!F195*Rezepte!AQ195</f>
        <v>0</v>
      </c>
      <c r="N195">
        <f>'Übersicht Score Index'!F195*Rezepte!AR195</f>
        <v>0</v>
      </c>
      <c r="O195">
        <f>'Übersicht Score Index'!G195*Rezepte!AP195</f>
        <v>0</v>
      </c>
      <c r="P195">
        <f>'Übersicht Score Index'!G195*Rezepte!AQ195</f>
        <v>0</v>
      </c>
      <c r="Q195">
        <f>'Übersicht Score Index'!G195*Rezepte!AR195</f>
        <v>0</v>
      </c>
      <c r="R195">
        <f>'Übersicht Score Index'!H195*Rezepte!AP195</f>
        <v>0</v>
      </c>
      <c r="S195">
        <f>'Übersicht Score Index'!H195*Rezepte!AQ195</f>
        <v>0</v>
      </c>
      <c r="T195">
        <f>'Übersicht Score Index'!H195*Rezepte!AR195</f>
        <v>0</v>
      </c>
      <c r="U195">
        <f>'Übersicht Score Index'!I195*Rezepte!AP195</f>
        <v>0</v>
      </c>
      <c r="V195">
        <f>'Übersicht Score Index'!I195*Rezepte!AQ195</f>
        <v>0</v>
      </c>
      <c r="W195">
        <f>'Übersicht Score Index'!I195*Rezepte!AR195</f>
        <v>0</v>
      </c>
    </row>
    <row r="196" spans="1:23" x14ac:dyDescent="0.3">
      <c r="A196" s="2" t="s">
        <v>396</v>
      </c>
      <c r="B196" s="2" t="s">
        <v>397</v>
      </c>
      <c r="C196">
        <f>'Übersicht Score Index'!C196*Rezepte!AP196</f>
        <v>0</v>
      </c>
      <c r="D196">
        <f>'Übersicht Score Index'!C196*Rezepte!AQ196</f>
        <v>0</v>
      </c>
      <c r="E196">
        <f>'Übersicht Score Index'!C196*Rezepte!AR196</f>
        <v>0</v>
      </c>
      <c r="F196">
        <f>'Übersicht Score Index'!D196*Rezepte!AP196</f>
        <v>0</v>
      </c>
      <c r="G196">
        <f>'Übersicht Score Index'!D196*Rezepte!AQ196</f>
        <v>0</v>
      </c>
      <c r="H196">
        <f>'Übersicht Score Index'!D196*Rezepte!AR196</f>
        <v>0</v>
      </c>
      <c r="I196">
        <f>'Übersicht Score Index'!E196*Rezepte!AP196</f>
        <v>0</v>
      </c>
      <c r="J196">
        <f>'Übersicht Score Index'!E196*Rezepte!AQ196</f>
        <v>0</v>
      </c>
      <c r="K196">
        <f>'Übersicht Score Index'!E196*Rezepte!AR196</f>
        <v>0</v>
      </c>
      <c r="L196">
        <f>'Übersicht Score Index'!F196*Rezepte!AP196</f>
        <v>0</v>
      </c>
      <c r="M196">
        <f>'Übersicht Score Index'!F196*Rezepte!AQ196</f>
        <v>0</v>
      </c>
      <c r="N196">
        <f>'Übersicht Score Index'!F196*Rezepte!AR196</f>
        <v>0</v>
      </c>
      <c r="O196">
        <f>'Übersicht Score Index'!G196*Rezepte!AP196</f>
        <v>0</v>
      </c>
      <c r="P196">
        <f>'Übersicht Score Index'!G196*Rezepte!AQ196</f>
        <v>0</v>
      </c>
      <c r="Q196">
        <f>'Übersicht Score Index'!G196*Rezepte!AR196</f>
        <v>0</v>
      </c>
      <c r="R196">
        <f>'Übersicht Score Index'!H196*Rezepte!AP196</f>
        <v>0</v>
      </c>
      <c r="S196">
        <f>'Übersicht Score Index'!H196*Rezepte!AQ196</f>
        <v>0</v>
      </c>
      <c r="T196">
        <f>'Übersicht Score Index'!H196*Rezepte!AR196</f>
        <v>0</v>
      </c>
      <c r="U196">
        <f>'Übersicht Score Index'!I196*Rezepte!AP196</f>
        <v>0</v>
      </c>
      <c r="V196">
        <f>'Übersicht Score Index'!I196*Rezepte!AQ196</f>
        <v>0</v>
      </c>
      <c r="W196">
        <f>'Übersicht Score Index'!I196*Rezepte!AR196</f>
        <v>0</v>
      </c>
    </row>
    <row r="197" spans="1:23" x14ac:dyDescent="0.3">
      <c r="A197" s="2" t="s">
        <v>398</v>
      </c>
      <c r="B197" s="2" t="s">
        <v>399</v>
      </c>
      <c r="C197">
        <f>'Übersicht Score Index'!C197*Rezepte!AP197</f>
        <v>0</v>
      </c>
      <c r="D197">
        <f>'Übersicht Score Index'!C197*Rezepte!AQ197</f>
        <v>0</v>
      </c>
      <c r="E197">
        <f>'Übersicht Score Index'!C197*Rezepte!AR197</f>
        <v>0</v>
      </c>
      <c r="F197">
        <f>'Übersicht Score Index'!D197*Rezepte!AP197</f>
        <v>0</v>
      </c>
      <c r="G197">
        <f>'Übersicht Score Index'!D197*Rezepte!AQ197</f>
        <v>0</v>
      </c>
      <c r="H197">
        <f>'Übersicht Score Index'!D197*Rezepte!AR197</f>
        <v>0</v>
      </c>
      <c r="I197">
        <f>'Übersicht Score Index'!E197*Rezepte!AP197</f>
        <v>0</v>
      </c>
      <c r="J197">
        <f>'Übersicht Score Index'!E197*Rezepte!AQ197</f>
        <v>0</v>
      </c>
      <c r="K197">
        <f>'Übersicht Score Index'!E197*Rezepte!AR197</f>
        <v>0</v>
      </c>
      <c r="L197">
        <f>'Übersicht Score Index'!F197*Rezepte!AP197</f>
        <v>0</v>
      </c>
      <c r="M197">
        <f>'Übersicht Score Index'!F197*Rezepte!AQ197</f>
        <v>0</v>
      </c>
      <c r="N197">
        <f>'Übersicht Score Index'!F197*Rezepte!AR197</f>
        <v>0</v>
      </c>
      <c r="O197">
        <f>'Übersicht Score Index'!G197*Rezepte!AP197</f>
        <v>0</v>
      </c>
      <c r="P197">
        <f>'Übersicht Score Index'!G197*Rezepte!AQ197</f>
        <v>0</v>
      </c>
      <c r="Q197">
        <f>'Übersicht Score Index'!G197*Rezepte!AR197</f>
        <v>0</v>
      </c>
      <c r="R197">
        <f>'Übersicht Score Index'!H197*Rezepte!AP197</f>
        <v>0</v>
      </c>
      <c r="S197">
        <f>'Übersicht Score Index'!H197*Rezepte!AQ197</f>
        <v>0</v>
      </c>
      <c r="T197">
        <f>'Übersicht Score Index'!H197*Rezepte!AR197</f>
        <v>0</v>
      </c>
      <c r="U197">
        <f>'Übersicht Score Index'!I197*Rezepte!AP197</f>
        <v>0</v>
      </c>
      <c r="V197">
        <f>'Übersicht Score Index'!I197*Rezepte!AQ197</f>
        <v>0</v>
      </c>
      <c r="W197">
        <f>'Übersicht Score Index'!I197*Rezepte!AR197</f>
        <v>0</v>
      </c>
    </row>
    <row r="198" spans="1:23" x14ac:dyDescent="0.3">
      <c r="A198" s="2" t="s">
        <v>400</v>
      </c>
      <c r="B198" s="2" t="s">
        <v>401</v>
      </c>
      <c r="C198">
        <f>'Übersicht Score Index'!C198*Rezepte!AP198</f>
        <v>0</v>
      </c>
      <c r="D198">
        <f>'Übersicht Score Index'!C198*Rezepte!AQ198</f>
        <v>0</v>
      </c>
      <c r="E198">
        <f>'Übersicht Score Index'!C198*Rezepte!AR198</f>
        <v>0</v>
      </c>
      <c r="F198">
        <f>'Übersicht Score Index'!D198*Rezepte!AP198</f>
        <v>0</v>
      </c>
      <c r="G198">
        <f>'Übersicht Score Index'!D198*Rezepte!AQ198</f>
        <v>0</v>
      </c>
      <c r="H198">
        <f>'Übersicht Score Index'!D198*Rezepte!AR198</f>
        <v>0</v>
      </c>
      <c r="I198">
        <f>'Übersicht Score Index'!E198*Rezepte!AP198</f>
        <v>0</v>
      </c>
      <c r="J198">
        <f>'Übersicht Score Index'!E198*Rezepte!AQ198</f>
        <v>0</v>
      </c>
      <c r="K198">
        <f>'Übersicht Score Index'!E198*Rezepte!AR198</f>
        <v>0</v>
      </c>
      <c r="L198">
        <f>'Übersicht Score Index'!F198*Rezepte!AP198</f>
        <v>0</v>
      </c>
      <c r="M198">
        <f>'Übersicht Score Index'!F198*Rezepte!AQ198</f>
        <v>0</v>
      </c>
      <c r="N198">
        <f>'Übersicht Score Index'!F198*Rezepte!AR198</f>
        <v>0</v>
      </c>
      <c r="O198">
        <f>'Übersicht Score Index'!G198*Rezepte!AP198</f>
        <v>0</v>
      </c>
      <c r="P198">
        <f>'Übersicht Score Index'!G198*Rezepte!AQ198</f>
        <v>0</v>
      </c>
      <c r="Q198">
        <f>'Übersicht Score Index'!G198*Rezepte!AR198</f>
        <v>0</v>
      </c>
      <c r="R198">
        <f>'Übersicht Score Index'!H198*Rezepte!AP198</f>
        <v>0</v>
      </c>
      <c r="S198">
        <f>'Übersicht Score Index'!H198*Rezepte!AQ198</f>
        <v>0</v>
      </c>
      <c r="T198">
        <f>'Übersicht Score Index'!H198*Rezepte!AR198</f>
        <v>0</v>
      </c>
      <c r="U198">
        <f>'Übersicht Score Index'!I198*Rezepte!AP198</f>
        <v>0</v>
      </c>
      <c r="V198">
        <f>'Übersicht Score Index'!I198*Rezepte!AQ198</f>
        <v>0</v>
      </c>
      <c r="W198">
        <f>'Übersicht Score Index'!I198*Rezepte!AR198</f>
        <v>0</v>
      </c>
    </row>
    <row r="199" spans="1:23" x14ac:dyDescent="0.3">
      <c r="A199" s="2" t="s">
        <v>402</v>
      </c>
      <c r="B199" s="2" t="s">
        <v>403</v>
      </c>
      <c r="C199">
        <f>'Übersicht Score Index'!C199*Rezepte!AP199</f>
        <v>0</v>
      </c>
      <c r="D199">
        <f>'Übersicht Score Index'!C199*Rezepte!AQ199</f>
        <v>0</v>
      </c>
      <c r="E199">
        <f>'Übersicht Score Index'!C199*Rezepte!AR199</f>
        <v>0</v>
      </c>
      <c r="F199">
        <f>'Übersicht Score Index'!D199*Rezepte!AP199</f>
        <v>0</v>
      </c>
      <c r="G199">
        <f>'Übersicht Score Index'!D199*Rezepte!AQ199</f>
        <v>0</v>
      </c>
      <c r="H199">
        <f>'Übersicht Score Index'!D199*Rezepte!AR199</f>
        <v>0</v>
      </c>
      <c r="I199">
        <f>'Übersicht Score Index'!E199*Rezepte!AP199</f>
        <v>0</v>
      </c>
      <c r="J199">
        <f>'Übersicht Score Index'!E199*Rezepte!AQ199</f>
        <v>0</v>
      </c>
      <c r="K199">
        <f>'Übersicht Score Index'!E199*Rezepte!AR199</f>
        <v>0</v>
      </c>
      <c r="L199">
        <f>'Übersicht Score Index'!F199*Rezepte!AP199</f>
        <v>0</v>
      </c>
      <c r="M199">
        <f>'Übersicht Score Index'!F199*Rezepte!AQ199</f>
        <v>0</v>
      </c>
      <c r="N199">
        <f>'Übersicht Score Index'!F199*Rezepte!AR199</f>
        <v>0</v>
      </c>
      <c r="O199">
        <f>'Übersicht Score Index'!G199*Rezepte!AP199</f>
        <v>0</v>
      </c>
      <c r="P199">
        <f>'Übersicht Score Index'!G199*Rezepte!AQ199</f>
        <v>0</v>
      </c>
      <c r="Q199">
        <f>'Übersicht Score Index'!G199*Rezepte!AR199</f>
        <v>0</v>
      </c>
      <c r="R199">
        <f>'Übersicht Score Index'!H199*Rezepte!AP199</f>
        <v>0</v>
      </c>
      <c r="S199">
        <f>'Übersicht Score Index'!H199*Rezepte!AQ199</f>
        <v>0</v>
      </c>
      <c r="T199">
        <f>'Übersicht Score Index'!H199*Rezepte!AR199</f>
        <v>0</v>
      </c>
      <c r="U199">
        <f>'Übersicht Score Index'!I199*Rezepte!AP199</f>
        <v>0</v>
      </c>
      <c r="V199">
        <f>'Übersicht Score Index'!I199*Rezepte!AQ199</f>
        <v>0</v>
      </c>
      <c r="W199">
        <f>'Übersicht Score Index'!I199*Rezepte!AR199</f>
        <v>0</v>
      </c>
    </row>
    <row r="200" spans="1:23" x14ac:dyDescent="0.3">
      <c r="A200" s="2" t="s">
        <v>404</v>
      </c>
      <c r="B200" s="2" t="s">
        <v>405</v>
      </c>
      <c r="C200">
        <f>'Übersicht Score Index'!C200*Rezepte!AP200</f>
        <v>0</v>
      </c>
      <c r="D200">
        <f>'Übersicht Score Index'!C200*Rezepte!AQ200</f>
        <v>0</v>
      </c>
      <c r="E200">
        <f>'Übersicht Score Index'!C200*Rezepte!AR200</f>
        <v>0</v>
      </c>
      <c r="F200">
        <f>'Übersicht Score Index'!D200*Rezepte!AP200</f>
        <v>0</v>
      </c>
      <c r="G200">
        <f>'Übersicht Score Index'!D200*Rezepte!AQ200</f>
        <v>0</v>
      </c>
      <c r="H200">
        <f>'Übersicht Score Index'!D200*Rezepte!AR200</f>
        <v>0</v>
      </c>
      <c r="I200">
        <f>'Übersicht Score Index'!E200*Rezepte!AP200</f>
        <v>0</v>
      </c>
      <c r="J200">
        <f>'Übersicht Score Index'!E200*Rezepte!AQ200</f>
        <v>0</v>
      </c>
      <c r="K200">
        <f>'Übersicht Score Index'!E200*Rezepte!AR200</f>
        <v>0</v>
      </c>
      <c r="L200">
        <f>'Übersicht Score Index'!F200*Rezepte!AP200</f>
        <v>0</v>
      </c>
      <c r="M200">
        <f>'Übersicht Score Index'!F200*Rezepte!AQ200</f>
        <v>0</v>
      </c>
      <c r="N200">
        <f>'Übersicht Score Index'!F200*Rezepte!AR200</f>
        <v>0</v>
      </c>
      <c r="O200">
        <f>'Übersicht Score Index'!G200*Rezepte!AP200</f>
        <v>0</v>
      </c>
      <c r="P200">
        <f>'Übersicht Score Index'!G200*Rezepte!AQ200</f>
        <v>0</v>
      </c>
      <c r="Q200">
        <f>'Übersicht Score Index'!G200*Rezepte!AR200</f>
        <v>0</v>
      </c>
      <c r="R200">
        <f>'Übersicht Score Index'!H200*Rezepte!AP200</f>
        <v>0</v>
      </c>
      <c r="S200">
        <f>'Übersicht Score Index'!H200*Rezepte!AQ200</f>
        <v>0</v>
      </c>
      <c r="T200">
        <f>'Übersicht Score Index'!H200*Rezepte!AR200</f>
        <v>0</v>
      </c>
      <c r="U200">
        <f>'Übersicht Score Index'!I200*Rezepte!AP200</f>
        <v>0</v>
      </c>
      <c r="V200">
        <f>'Übersicht Score Index'!I200*Rezepte!AQ200</f>
        <v>0</v>
      </c>
      <c r="W200">
        <f>'Übersicht Score Index'!I200*Rezepte!AR200</f>
        <v>0</v>
      </c>
    </row>
    <row r="201" spans="1:23" x14ac:dyDescent="0.3">
      <c r="A201" s="2" t="s">
        <v>406</v>
      </c>
      <c r="B201" s="2" t="s">
        <v>407</v>
      </c>
      <c r="C201">
        <f>'Übersicht Score Index'!C201*Rezepte!AP201</f>
        <v>9.6404058750589425E-2</v>
      </c>
      <c r="D201">
        <f>'Übersicht Score Index'!C201*Rezepte!AQ201</f>
        <v>4.8202029375294712E-2</v>
      </c>
      <c r="E201">
        <f>'Übersicht Score Index'!C201*Rezepte!AR201</f>
        <v>4.8202029375294712E-2</v>
      </c>
      <c r="F201">
        <f>'Übersicht Score Index'!D201*Rezepte!AP201</f>
        <v>0</v>
      </c>
      <c r="G201">
        <f>'Übersicht Score Index'!D201*Rezepte!AQ201</f>
        <v>0</v>
      </c>
      <c r="H201">
        <f>'Übersicht Score Index'!D201*Rezepte!AR201</f>
        <v>0</v>
      </c>
      <c r="I201">
        <f>'Übersicht Score Index'!E201*Rezepte!AP201</f>
        <v>0</v>
      </c>
      <c r="J201">
        <f>'Übersicht Score Index'!E201*Rezepte!AQ201</f>
        <v>0</v>
      </c>
      <c r="K201">
        <f>'Übersicht Score Index'!E201*Rezepte!AR201</f>
        <v>0</v>
      </c>
      <c r="L201">
        <f>'Übersicht Score Index'!F201*Rezepte!AP201</f>
        <v>0</v>
      </c>
      <c r="M201">
        <f>'Übersicht Score Index'!F201*Rezepte!AQ201</f>
        <v>0</v>
      </c>
      <c r="N201">
        <f>'Übersicht Score Index'!F201*Rezepte!AR201</f>
        <v>0</v>
      </c>
      <c r="O201">
        <f>'Übersicht Score Index'!G201*Rezepte!AP201</f>
        <v>0</v>
      </c>
      <c r="P201">
        <f>'Übersicht Score Index'!G201*Rezepte!AQ201</f>
        <v>0</v>
      </c>
      <c r="Q201">
        <f>'Übersicht Score Index'!G201*Rezepte!AR201</f>
        <v>0</v>
      </c>
      <c r="R201">
        <f>'Übersicht Score Index'!H201*Rezepte!AP201</f>
        <v>0</v>
      </c>
      <c r="S201">
        <f>'Übersicht Score Index'!H201*Rezepte!AQ201</f>
        <v>0</v>
      </c>
      <c r="T201">
        <f>'Übersicht Score Index'!H201*Rezepte!AR201</f>
        <v>0</v>
      </c>
      <c r="U201">
        <f>'Übersicht Score Index'!I201*Rezepte!AP201</f>
        <v>0</v>
      </c>
      <c r="V201">
        <f>'Übersicht Score Index'!I201*Rezepte!AQ201</f>
        <v>0</v>
      </c>
      <c r="W201">
        <f>'Übersicht Score Index'!I201*Rezepte!AR201</f>
        <v>0</v>
      </c>
    </row>
    <row r="202" spans="1:23" x14ac:dyDescent="0.3">
      <c r="A202" s="2" t="s">
        <v>408</v>
      </c>
      <c r="B202" s="2" t="s">
        <v>409</v>
      </c>
      <c r="C202">
        <f>'Übersicht Score Index'!C202*Rezepte!AP202</f>
        <v>0</v>
      </c>
      <c r="D202">
        <f>'Übersicht Score Index'!C202*Rezepte!AQ202</f>
        <v>0</v>
      </c>
      <c r="E202">
        <f>'Übersicht Score Index'!C202*Rezepte!AR202</f>
        <v>0</v>
      </c>
      <c r="F202">
        <f>'Übersicht Score Index'!D202*Rezepte!AP202</f>
        <v>0</v>
      </c>
      <c r="G202">
        <f>'Übersicht Score Index'!D202*Rezepte!AQ202</f>
        <v>0</v>
      </c>
      <c r="H202">
        <f>'Übersicht Score Index'!D202*Rezepte!AR202</f>
        <v>0</v>
      </c>
      <c r="I202">
        <f>'Übersicht Score Index'!E202*Rezepte!AP202</f>
        <v>0</v>
      </c>
      <c r="J202">
        <f>'Übersicht Score Index'!E202*Rezepte!AQ202</f>
        <v>0</v>
      </c>
      <c r="K202">
        <f>'Übersicht Score Index'!E202*Rezepte!AR202</f>
        <v>0</v>
      </c>
      <c r="L202">
        <f>'Übersicht Score Index'!F202*Rezepte!AP202</f>
        <v>0</v>
      </c>
      <c r="M202">
        <f>'Übersicht Score Index'!F202*Rezepte!AQ202</f>
        <v>0</v>
      </c>
      <c r="N202">
        <f>'Übersicht Score Index'!F202*Rezepte!AR202</f>
        <v>0</v>
      </c>
      <c r="O202">
        <f>'Übersicht Score Index'!G202*Rezepte!AP202</f>
        <v>0</v>
      </c>
      <c r="P202">
        <f>'Übersicht Score Index'!G202*Rezepte!AQ202</f>
        <v>0</v>
      </c>
      <c r="Q202">
        <f>'Übersicht Score Index'!G202*Rezepte!AR202</f>
        <v>0</v>
      </c>
      <c r="R202">
        <f>'Übersicht Score Index'!H202*Rezepte!AP202</f>
        <v>0</v>
      </c>
      <c r="S202">
        <f>'Übersicht Score Index'!H202*Rezepte!AQ202</f>
        <v>0</v>
      </c>
      <c r="T202">
        <f>'Übersicht Score Index'!H202*Rezepte!AR202</f>
        <v>0</v>
      </c>
      <c r="U202">
        <f>'Übersicht Score Index'!I202*Rezepte!AP202</f>
        <v>0</v>
      </c>
      <c r="V202">
        <f>'Übersicht Score Index'!I202*Rezepte!AQ202</f>
        <v>0</v>
      </c>
      <c r="W202">
        <f>'Übersicht Score Index'!I202*Rezepte!AR202</f>
        <v>0</v>
      </c>
    </row>
    <row r="203" spans="1:23" x14ac:dyDescent="0.3">
      <c r="A203" s="2" t="s">
        <v>410</v>
      </c>
      <c r="B203" s="2" t="s">
        <v>411</v>
      </c>
      <c r="C203">
        <f>'Übersicht Score Index'!C203*Rezepte!AP203</f>
        <v>0</v>
      </c>
      <c r="D203">
        <f>'Übersicht Score Index'!C203*Rezepte!AQ203</f>
        <v>0</v>
      </c>
      <c r="E203">
        <f>'Übersicht Score Index'!C203*Rezepte!AR203</f>
        <v>0</v>
      </c>
      <c r="F203">
        <f>'Übersicht Score Index'!D203*Rezepte!AP203</f>
        <v>0</v>
      </c>
      <c r="G203">
        <f>'Übersicht Score Index'!D203*Rezepte!AQ203</f>
        <v>0</v>
      </c>
      <c r="H203">
        <f>'Übersicht Score Index'!D203*Rezepte!AR203</f>
        <v>0</v>
      </c>
      <c r="I203">
        <f>'Übersicht Score Index'!E203*Rezepte!AP203</f>
        <v>0</v>
      </c>
      <c r="J203">
        <f>'Übersicht Score Index'!E203*Rezepte!AQ203</f>
        <v>0</v>
      </c>
      <c r="K203">
        <f>'Übersicht Score Index'!E203*Rezepte!AR203</f>
        <v>0</v>
      </c>
      <c r="L203">
        <f>'Übersicht Score Index'!F203*Rezepte!AP203</f>
        <v>0</v>
      </c>
      <c r="M203">
        <f>'Übersicht Score Index'!F203*Rezepte!AQ203</f>
        <v>0</v>
      </c>
      <c r="N203">
        <f>'Übersicht Score Index'!F203*Rezepte!AR203</f>
        <v>0</v>
      </c>
      <c r="O203">
        <f>'Übersicht Score Index'!G203*Rezepte!AP203</f>
        <v>0</v>
      </c>
      <c r="P203">
        <f>'Übersicht Score Index'!G203*Rezepte!AQ203</f>
        <v>0</v>
      </c>
      <c r="Q203">
        <f>'Übersicht Score Index'!G203*Rezepte!AR203</f>
        <v>0</v>
      </c>
      <c r="R203">
        <f>'Übersicht Score Index'!H203*Rezepte!AP203</f>
        <v>0</v>
      </c>
      <c r="S203">
        <f>'Übersicht Score Index'!H203*Rezepte!AQ203</f>
        <v>0</v>
      </c>
      <c r="T203">
        <f>'Übersicht Score Index'!H203*Rezepte!AR203</f>
        <v>0</v>
      </c>
      <c r="U203">
        <f>'Übersicht Score Index'!I203*Rezepte!AP203</f>
        <v>0</v>
      </c>
      <c r="V203">
        <f>'Übersicht Score Index'!I203*Rezepte!AQ203</f>
        <v>0</v>
      </c>
      <c r="W203">
        <f>'Übersicht Score Index'!I203*Rezepte!AR203</f>
        <v>0</v>
      </c>
    </row>
    <row r="204" spans="1:23" x14ac:dyDescent="0.3">
      <c r="A204" s="2" t="s">
        <v>412</v>
      </c>
      <c r="B204" s="2" t="s">
        <v>413</v>
      </c>
      <c r="C204">
        <f>'Übersicht Score Index'!C204*Rezepte!AP204</f>
        <v>0</v>
      </c>
      <c r="D204">
        <f>'Übersicht Score Index'!C204*Rezepte!AQ204</f>
        <v>0</v>
      </c>
      <c r="E204">
        <f>'Übersicht Score Index'!C204*Rezepte!AR204</f>
        <v>0</v>
      </c>
      <c r="F204">
        <f>'Übersicht Score Index'!D204*Rezepte!AP204</f>
        <v>0</v>
      </c>
      <c r="G204">
        <f>'Übersicht Score Index'!D204*Rezepte!AQ204</f>
        <v>0</v>
      </c>
      <c r="H204">
        <f>'Übersicht Score Index'!D204*Rezepte!AR204</f>
        <v>0</v>
      </c>
      <c r="I204">
        <f>'Übersicht Score Index'!E204*Rezepte!AP204</f>
        <v>0</v>
      </c>
      <c r="J204">
        <f>'Übersicht Score Index'!E204*Rezepte!AQ204</f>
        <v>0</v>
      </c>
      <c r="K204">
        <f>'Übersicht Score Index'!E204*Rezepte!AR204</f>
        <v>0</v>
      </c>
      <c r="L204">
        <f>'Übersicht Score Index'!F204*Rezepte!AP204</f>
        <v>0</v>
      </c>
      <c r="M204">
        <f>'Übersicht Score Index'!F204*Rezepte!AQ204</f>
        <v>0</v>
      </c>
      <c r="N204">
        <f>'Übersicht Score Index'!F204*Rezepte!AR204</f>
        <v>0</v>
      </c>
      <c r="O204">
        <f>'Übersicht Score Index'!G204*Rezepte!AP204</f>
        <v>0</v>
      </c>
      <c r="P204">
        <f>'Übersicht Score Index'!G204*Rezepte!AQ204</f>
        <v>0</v>
      </c>
      <c r="Q204">
        <f>'Übersicht Score Index'!G204*Rezepte!AR204</f>
        <v>0</v>
      </c>
      <c r="R204">
        <f>'Übersicht Score Index'!H204*Rezepte!AP204</f>
        <v>0</v>
      </c>
      <c r="S204">
        <f>'Übersicht Score Index'!H204*Rezepte!AQ204</f>
        <v>0</v>
      </c>
      <c r="T204">
        <f>'Übersicht Score Index'!H204*Rezepte!AR204</f>
        <v>0</v>
      </c>
      <c r="U204">
        <f>'Übersicht Score Index'!I204*Rezepte!AP204</f>
        <v>0</v>
      </c>
      <c r="V204">
        <f>'Übersicht Score Index'!I204*Rezepte!AQ204</f>
        <v>0</v>
      </c>
      <c r="W204">
        <f>'Übersicht Score Index'!I204*Rezepte!AR204</f>
        <v>0</v>
      </c>
    </row>
    <row r="205" spans="1:23" x14ac:dyDescent="0.3">
      <c r="A205" s="2" t="s">
        <v>414</v>
      </c>
      <c r="B205" s="2" t="s">
        <v>415</v>
      </c>
      <c r="C205">
        <f>'Übersicht Score Index'!C205*Rezepte!AP205</f>
        <v>0</v>
      </c>
      <c r="D205">
        <f>'Übersicht Score Index'!C205*Rezepte!AQ205</f>
        <v>0</v>
      </c>
      <c r="E205">
        <f>'Übersicht Score Index'!C205*Rezepte!AR205</f>
        <v>0</v>
      </c>
      <c r="F205">
        <f>'Übersicht Score Index'!D205*Rezepte!AP205</f>
        <v>0</v>
      </c>
      <c r="G205">
        <f>'Übersicht Score Index'!D205*Rezepte!AQ205</f>
        <v>0</v>
      </c>
      <c r="H205">
        <f>'Übersicht Score Index'!D205*Rezepte!AR205</f>
        <v>0</v>
      </c>
      <c r="I205">
        <f>'Übersicht Score Index'!E205*Rezepte!AP205</f>
        <v>0</v>
      </c>
      <c r="J205">
        <f>'Übersicht Score Index'!E205*Rezepte!AQ205</f>
        <v>0</v>
      </c>
      <c r="K205">
        <f>'Übersicht Score Index'!E205*Rezepte!AR205</f>
        <v>0</v>
      </c>
      <c r="L205">
        <f>'Übersicht Score Index'!F205*Rezepte!AP205</f>
        <v>0</v>
      </c>
      <c r="M205">
        <f>'Übersicht Score Index'!F205*Rezepte!AQ205</f>
        <v>0</v>
      </c>
      <c r="N205">
        <f>'Übersicht Score Index'!F205*Rezepte!AR205</f>
        <v>0</v>
      </c>
      <c r="O205">
        <f>'Übersicht Score Index'!G205*Rezepte!AP205</f>
        <v>0</v>
      </c>
      <c r="P205">
        <f>'Übersicht Score Index'!G205*Rezepte!AQ205</f>
        <v>0</v>
      </c>
      <c r="Q205">
        <f>'Übersicht Score Index'!G205*Rezepte!AR205</f>
        <v>0</v>
      </c>
      <c r="R205">
        <f>'Übersicht Score Index'!H205*Rezepte!AP205</f>
        <v>0</v>
      </c>
      <c r="S205">
        <f>'Übersicht Score Index'!H205*Rezepte!AQ205</f>
        <v>0</v>
      </c>
      <c r="T205">
        <f>'Übersicht Score Index'!H205*Rezepte!AR205</f>
        <v>0</v>
      </c>
      <c r="U205">
        <f>'Übersicht Score Index'!I205*Rezepte!AP205</f>
        <v>0</v>
      </c>
      <c r="V205">
        <f>'Übersicht Score Index'!I205*Rezepte!AQ205</f>
        <v>0</v>
      </c>
      <c r="W205">
        <f>'Übersicht Score Index'!I205*Rezepte!AR205</f>
        <v>0</v>
      </c>
    </row>
    <row r="206" spans="1:23" x14ac:dyDescent="0.3">
      <c r="A206" s="2" t="s">
        <v>416</v>
      </c>
      <c r="B206" s="2" t="s">
        <v>417</v>
      </c>
      <c r="C206">
        <f>'Übersicht Score Index'!C206*Rezepte!AP206</f>
        <v>0</v>
      </c>
      <c r="D206">
        <f>'Übersicht Score Index'!C206*Rezepte!AQ206</f>
        <v>0</v>
      </c>
      <c r="E206">
        <f>'Übersicht Score Index'!C206*Rezepte!AR206</f>
        <v>0</v>
      </c>
      <c r="F206">
        <f>'Übersicht Score Index'!D206*Rezepte!AP206</f>
        <v>0</v>
      </c>
      <c r="G206">
        <f>'Übersicht Score Index'!D206*Rezepte!AQ206</f>
        <v>0</v>
      </c>
      <c r="H206">
        <f>'Übersicht Score Index'!D206*Rezepte!AR206</f>
        <v>0</v>
      </c>
      <c r="I206">
        <f>'Übersicht Score Index'!E206*Rezepte!AP206</f>
        <v>0</v>
      </c>
      <c r="J206">
        <f>'Übersicht Score Index'!E206*Rezepte!AQ206</f>
        <v>0</v>
      </c>
      <c r="K206">
        <f>'Übersicht Score Index'!E206*Rezepte!AR206</f>
        <v>0</v>
      </c>
      <c r="L206">
        <f>'Übersicht Score Index'!F206*Rezepte!AP206</f>
        <v>0</v>
      </c>
      <c r="M206">
        <f>'Übersicht Score Index'!F206*Rezepte!AQ206</f>
        <v>0</v>
      </c>
      <c r="N206">
        <f>'Übersicht Score Index'!F206*Rezepte!AR206</f>
        <v>0</v>
      </c>
      <c r="O206">
        <f>'Übersicht Score Index'!G206*Rezepte!AP206</f>
        <v>0</v>
      </c>
      <c r="P206">
        <f>'Übersicht Score Index'!G206*Rezepte!AQ206</f>
        <v>0</v>
      </c>
      <c r="Q206">
        <f>'Übersicht Score Index'!G206*Rezepte!AR206</f>
        <v>0</v>
      </c>
      <c r="R206">
        <f>'Übersicht Score Index'!H206*Rezepte!AP206</f>
        <v>0</v>
      </c>
      <c r="S206">
        <f>'Übersicht Score Index'!H206*Rezepte!AQ206</f>
        <v>0</v>
      </c>
      <c r="T206">
        <f>'Übersicht Score Index'!H206*Rezepte!AR206</f>
        <v>0</v>
      </c>
      <c r="U206">
        <f>'Übersicht Score Index'!I206*Rezepte!AP206</f>
        <v>0</v>
      </c>
      <c r="V206">
        <f>'Übersicht Score Index'!I206*Rezepte!AQ206</f>
        <v>0</v>
      </c>
      <c r="W206">
        <f>'Übersicht Score Index'!I206*Rezepte!AR206</f>
        <v>0</v>
      </c>
    </row>
    <row r="207" spans="1:23" x14ac:dyDescent="0.3">
      <c r="A207" s="2" t="s">
        <v>418</v>
      </c>
      <c r="B207" s="2" t="s">
        <v>419</v>
      </c>
      <c r="C207">
        <f>'Übersicht Score Index'!C207*Rezepte!AP207</f>
        <v>0</v>
      </c>
      <c r="D207">
        <f>'Übersicht Score Index'!C207*Rezepte!AQ207</f>
        <v>0</v>
      </c>
      <c r="E207">
        <f>'Übersicht Score Index'!C207*Rezepte!AR207</f>
        <v>0</v>
      </c>
      <c r="F207">
        <f>'Übersicht Score Index'!D207*Rezepte!AP207</f>
        <v>0</v>
      </c>
      <c r="G207">
        <f>'Übersicht Score Index'!D207*Rezepte!AQ207</f>
        <v>0</v>
      </c>
      <c r="H207">
        <f>'Übersicht Score Index'!D207*Rezepte!AR207</f>
        <v>0</v>
      </c>
      <c r="I207">
        <f>'Übersicht Score Index'!E207*Rezepte!AP207</f>
        <v>0</v>
      </c>
      <c r="J207">
        <f>'Übersicht Score Index'!E207*Rezepte!AQ207</f>
        <v>0</v>
      </c>
      <c r="K207">
        <f>'Übersicht Score Index'!E207*Rezepte!AR207</f>
        <v>0</v>
      </c>
      <c r="L207">
        <f>'Übersicht Score Index'!F207*Rezepte!AP207</f>
        <v>0</v>
      </c>
      <c r="M207">
        <f>'Übersicht Score Index'!F207*Rezepte!AQ207</f>
        <v>0</v>
      </c>
      <c r="N207">
        <f>'Übersicht Score Index'!F207*Rezepte!AR207</f>
        <v>0</v>
      </c>
      <c r="O207">
        <f>'Übersicht Score Index'!G207*Rezepte!AP207</f>
        <v>0</v>
      </c>
      <c r="P207">
        <f>'Übersicht Score Index'!G207*Rezepte!AQ207</f>
        <v>0</v>
      </c>
      <c r="Q207">
        <f>'Übersicht Score Index'!G207*Rezepte!AR207</f>
        <v>0</v>
      </c>
      <c r="R207">
        <f>'Übersicht Score Index'!H207*Rezepte!AP207</f>
        <v>0</v>
      </c>
      <c r="S207">
        <f>'Übersicht Score Index'!H207*Rezepte!AQ207</f>
        <v>0</v>
      </c>
      <c r="T207">
        <f>'Übersicht Score Index'!H207*Rezepte!AR207</f>
        <v>0</v>
      </c>
      <c r="U207">
        <f>'Übersicht Score Index'!I207*Rezepte!AP207</f>
        <v>0</v>
      </c>
      <c r="V207">
        <f>'Übersicht Score Index'!I207*Rezepte!AQ207</f>
        <v>0</v>
      </c>
      <c r="W207">
        <f>'Übersicht Score Index'!I207*Rezepte!AR207</f>
        <v>0</v>
      </c>
    </row>
    <row r="208" spans="1:23" x14ac:dyDescent="0.3">
      <c r="A208" s="2" t="s">
        <v>420</v>
      </c>
      <c r="B208" s="2" t="s">
        <v>421</v>
      </c>
      <c r="C208">
        <f>'Übersicht Score Index'!C208*Rezepte!AP208</f>
        <v>0</v>
      </c>
      <c r="D208">
        <f>'Übersicht Score Index'!C208*Rezepte!AQ208</f>
        <v>0</v>
      </c>
      <c r="E208">
        <f>'Übersicht Score Index'!C208*Rezepte!AR208</f>
        <v>0</v>
      </c>
      <c r="F208">
        <f>'Übersicht Score Index'!D208*Rezepte!AP208</f>
        <v>0</v>
      </c>
      <c r="G208">
        <f>'Übersicht Score Index'!D208*Rezepte!AQ208</f>
        <v>0</v>
      </c>
      <c r="H208">
        <f>'Übersicht Score Index'!D208*Rezepte!AR208</f>
        <v>0</v>
      </c>
      <c r="I208">
        <f>'Übersicht Score Index'!E208*Rezepte!AP208</f>
        <v>0</v>
      </c>
      <c r="J208">
        <f>'Übersicht Score Index'!E208*Rezepte!AQ208</f>
        <v>0</v>
      </c>
      <c r="K208">
        <f>'Übersicht Score Index'!E208*Rezepte!AR208</f>
        <v>0</v>
      </c>
      <c r="L208">
        <f>'Übersicht Score Index'!F208*Rezepte!AP208</f>
        <v>0</v>
      </c>
      <c r="M208">
        <f>'Übersicht Score Index'!F208*Rezepte!AQ208</f>
        <v>0</v>
      </c>
      <c r="N208">
        <f>'Übersicht Score Index'!F208*Rezepte!AR208</f>
        <v>0</v>
      </c>
      <c r="O208">
        <f>'Übersicht Score Index'!G208*Rezepte!AP208</f>
        <v>0</v>
      </c>
      <c r="P208">
        <f>'Übersicht Score Index'!G208*Rezepte!AQ208</f>
        <v>0</v>
      </c>
      <c r="Q208">
        <f>'Übersicht Score Index'!G208*Rezepte!AR208</f>
        <v>0</v>
      </c>
      <c r="R208">
        <f>'Übersicht Score Index'!H208*Rezepte!AP208</f>
        <v>0</v>
      </c>
      <c r="S208">
        <f>'Übersicht Score Index'!H208*Rezepte!AQ208</f>
        <v>0</v>
      </c>
      <c r="T208">
        <f>'Übersicht Score Index'!H208*Rezepte!AR208</f>
        <v>0</v>
      </c>
      <c r="U208">
        <f>'Übersicht Score Index'!I208*Rezepte!AP208</f>
        <v>0</v>
      </c>
      <c r="V208">
        <f>'Übersicht Score Index'!I208*Rezepte!AQ208</f>
        <v>0</v>
      </c>
      <c r="W208">
        <f>'Übersicht Score Index'!I208*Rezepte!AR208</f>
        <v>0</v>
      </c>
    </row>
    <row r="209" spans="1:23" x14ac:dyDescent="0.3">
      <c r="A209" s="2" t="s">
        <v>422</v>
      </c>
      <c r="B209" s="2" t="s">
        <v>423</v>
      </c>
      <c r="C209">
        <f>'Übersicht Score Index'!C209*Rezepte!AP209</f>
        <v>0</v>
      </c>
      <c r="D209">
        <f>'Übersicht Score Index'!C209*Rezepte!AQ209</f>
        <v>0</v>
      </c>
      <c r="E209">
        <f>'Übersicht Score Index'!C209*Rezepte!AR209</f>
        <v>0</v>
      </c>
      <c r="F209">
        <f>'Übersicht Score Index'!D209*Rezepte!AP209</f>
        <v>0</v>
      </c>
      <c r="G209">
        <f>'Übersicht Score Index'!D209*Rezepte!AQ209</f>
        <v>0</v>
      </c>
      <c r="H209">
        <f>'Übersicht Score Index'!D209*Rezepte!AR209</f>
        <v>0</v>
      </c>
      <c r="I209">
        <f>'Übersicht Score Index'!E209*Rezepte!AP209</f>
        <v>0</v>
      </c>
      <c r="J209">
        <f>'Übersicht Score Index'!E209*Rezepte!AQ209</f>
        <v>0</v>
      </c>
      <c r="K209">
        <f>'Übersicht Score Index'!E209*Rezepte!AR209</f>
        <v>0</v>
      </c>
      <c r="L209">
        <f>'Übersicht Score Index'!F209*Rezepte!AP209</f>
        <v>0</v>
      </c>
      <c r="M209">
        <f>'Übersicht Score Index'!F209*Rezepte!AQ209</f>
        <v>0</v>
      </c>
      <c r="N209">
        <f>'Übersicht Score Index'!F209*Rezepte!AR209</f>
        <v>0</v>
      </c>
      <c r="O209">
        <f>'Übersicht Score Index'!G209*Rezepte!AP209</f>
        <v>0</v>
      </c>
      <c r="P209">
        <f>'Übersicht Score Index'!G209*Rezepte!AQ209</f>
        <v>0</v>
      </c>
      <c r="Q209">
        <f>'Übersicht Score Index'!G209*Rezepte!AR209</f>
        <v>0</v>
      </c>
      <c r="R209">
        <f>'Übersicht Score Index'!H209*Rezepte!AP209</f>
        <v>0</v>
      </c>
      <c r="S209">
        <f>'Übersicht Score Index'!H209*Rezepte!AQ209</f>
        <v>0</v>
      </c>
      <c r="T209">
        <f>'Übersicht Score Index'!H209*Rezepte!AR209</f>
        <v>0</v>
      </c>
      <c r="U209">
        <f>'Übersicht Score Index'!I209*Rezepte!AP209</f>
        <v>0</v>
      </c>
      <c r="V209">
        <f>'Übersicht Score Index'!I209*Rezepte!AQ209</f>
        <v>0</v>
      </c>
      <c r="W209">
        <f>'Übersicht Score Index'!I209*Rezepte!AR209</f>
        <v>0</v>
      </c>
    </row>
    <row r="210" spans="1:23" x14ac:dyDescent="0.3">
      <c r="A210" s="2" t="s">
        <v>424</v>
      </c>
      <c r="B210" s="2" t="s">
        <v>425</v>
      </c>
      <c r="C210">
        <f>'Übersicht Score Index'!C210*Rezepte!AP210</f>
        <v>0</v>
      </c>
      <c r="D210">
        <f>'Übersicht Score Index'!C210*Rezepte!AQ210</f>
        <v>0</v>
      </c>
      <c r="E210">
        <f>'Übersicht Score Index'!C210*Rezepte!AR210</f>
        <v>0</v>
      </c>
      <c r="F210">
        <f>'Übersicht Score Index'!D210*Rezepte!AP210</f>
        <v>0</v>
      </c>
      <c r="G210">
        <f>'Übersicht Score Index'!D210*Rezepte!AQ210</f>
        <v>0</v>
      </c>
      <c r="H210">
        <f>'Übersicht Score Index'!D210*Rezepte!AR210</f>
        <v>0</v>
      </c>
      <c r="I210">
        <f>'Übersicht Score Index'!E210*Rezepte!AP210</f>
        <v>0</v>
      </c>
      <c r="J210">
        <f>'Übersicht Score Index'!E210*Rezepte!AQ210</f>
        <v>0</v>
      </c>
      <c r="K210">
        <f>'Übersicht Score Index'!E210*Rezepte!AR210</f>
        <v>0</v>
      </c>
      <c r="L210">
        <f>'Übersicht Score Index'!F210*Rezepte!AP210</f>
        <v>0</v>
      </c>
      <c r="M210">
        <f>'Übersicht Score Index'!F210*Rezepte!AQ210</f>
        <v>0</v>
      </c>
      <c r="N210">
        <f>'Übersicht Score Index'!F210*Rezepte!AR210</f>
        <v>0</v>
      </c>
      <c r="O210">
        <f>'Übersicht Score Index'!G210*Rezepte!AP210</f>
        <v>0</v>
      </c>
      <c r="P210">
        <f>'Übersicht Score Index'!G210*Rezepte!AQ210</f>
        <v>0</v>
      </c>
      <c r="Q210">
        <f>'Übersicht Score Index'!G210*Rezepte!AR210</f>
        <v>0</v>
      </c>
      <c r="R210">
        <f>'Übersicht Score Index'!H210*Rezepte!AP210</f>
        <v>0</v>
      </c>
      <c r="S210">
        <f>'Übersicht Score Index'!H210*Rezepte!AQ210</f>
        <v>0</v>
      </c>
      <c r="T210">
        <f>'Übersicht Score Index'!H210*Rezepte!AR210</f>
        <v>0</v>
      </c>
      <c r="U210">
        <f>'Übersicht Score Index'!I210*Rezepte!AP210</f>
        <v>0</v>
      </c>
      <c r="V210">
        <f>'Übersicht Score Index'!I210*Rezepte!AQ210</f>
        <v>0</v>
      </c>
      <c r="W210">
        <f>'Übersicht Score Index'!I210*Rezepte!AR210</f>
        <v>0</v>
      </c>
    </row>
    <row r="211" spans="1:23" x14ac:dyDescent="0.3">
      <c r="A211" s="2" t="s">
        <v>426</v>
      </c>
      <c r="B211" s="2" t="s">
        <v>427</v>
      </c>
      <c r="C211">
        <f>'Übersicht Score Index'!C211*Rezepte!AP211</f>
        <v>0</v>
      </c>
      <c r="D211">
        <f>'Übersicht Score Index'!C211*Rezepte!AQ211</f>
        <v>0</v>
      </c>
      <c r="E211">
        <f>'Übersicht Score Index'!C211*Rezepte!AR211</f>
        <v>0</v>
      </c>
      <c r="F211">
        <f>'Übersicht Score Index'!D211*Rezepte!AP211</f>
        <v>0</v>
      </c>
      <c r="G211">
        <f>'Übersicht Score Index'!D211*Rezepte!AQ211</f>
        <v>0</v>
      </c>
      <c r="H211">
        <f>'Übersicht Score Index'!D211*Rezepte!AR211</f>
        <v>0</v>
      </c>
      <c r="I211">
        <f>'Übersicht Score Index'!E211*Rezepte!AP211</f>
        <v>0</v>
      </c>
      <c r="J211">
        <f>'Übersicht Score Index'!E211*Rezepte!AQ211</f>
        <v>0</v>
      </c>
      <c r="K211">
        <f>'Übersicht Score Index'!E211*Rezepte!AR211</f>
        <v>0</v>
      </c>
      <c r="L211">
        <f>'Übersicht Score Index'!F211*Rezepte!AP211</f>
        <v>0</v>
      </c>
      <c r="M211">
        <f>'Übersicht Score Index'!F211*Rezepte!AQ211</f>
        <v>0</v>
      </c>
      <c r="N211">
        <f>'Übersicht Score Index'!F211*Rezepte!AR211</f>
        <v>0</v>
      </c>
      <c r="O211">
        <f>'Übersicht Score Index'!G211*Rezepte!AP211</f>
        <v>0</v>
      </c>
      <c r="P211">
        <f>'Übersicht Score Index'!G211*Rezepte!AQ211</f>
        <v>0</v>
      </c>
      <c r="Q211">
        <f>'Übersicht Score Index'!G211*Rezepte!AR211</f>
        <v>0</v>
      </c>
      <c r="R211">
        <f>'Übersicht Score Index'!H211*Rezepte!AP211</f>
        <v>0</v>
      </c>
      <c r="S211">
        <f>'Übersicht Score Index'!H211*Rezepte!AQ211</f>
        <v>0</v>
      </c>
      <c r="T211">
        <f>'Übersicht Score Index'!H211*Rezepte!AR211</f>
        <v>0</v>
      </c>
      <c r="U211">
        <f>'Übersicht Score Index'!I211*Rezepte!AP211</f>
        <v>0</v>
      </c>
      <c r="V211">
        <f>'Übersicht Score Index'!I211*Rezepte!AQ211</f>
        <v>0</v>
      </c>
      <c r="W211">
        <f>'Übersicht Score Index'!I211*Rezepte!AR211</f>
        <v>0</v>
      </c>
    </row>
    <row r="212" spans="1:23" x14ac:dyDescent="0.3">
      <c r="A212" s="2" t="s">
        <v>428</v>
      </c>
      <c r="B212" s="2" t="s">
        <v>429</v>
      </c>
      <c r="C212">
        <f>'Übersicht Score Index'!C212*Rezepte!AP212</f>
        <v>0</v>
      </c>
      <c r="D212">
        <f>'Übersicht Score Index'!C212*Rezepte!AQ212</f>
        <v>0</v>
      </c>
      <c r="E212">
        <f>'Übersicht Score Index'!C212*Rezepte!AR212</f>
        <v>0</v>
      </c>
      <c r="F212">
        <f>'Übersicht Score Index'!D212*Rezepte!AP212</f>
        <v>0</v>
      </c>
      <c r="G212">
        <f>'Übersicht Score Index'!D212*Rezepte!AQ212</f>
        <v>0</v>
      </c>
      <c r="H212">
        <f>'Übersicht Score Index'!D212*Rezepte!AR212</f>
        <v>0</v>
      </c>
      <c r="I212">
        <f>'Übersicht Score Index'!E212*Rezepte!AP212</f>
        <v>0</v>
      </c>
      <c r="J212">
        <f>'Übersicht Score Index'!E212*Rezepte!AQ212</f>
        <v>0</v>
      </c>
      <c r="K212">
        <f>'Übersicht Score Index'!E212*Rezepte!AR212</f>
        <v>0</v>
      </c>
      <c r="L212">
        <f>'Übersicht Score Index'!F212*Rezepte!AP212</f>
        <v>0</v>
      </c>
      <c r="M212">
        <f>'Übersicht Score Index'!F212*Rezepte!AQ212</f>
        <v>0</v>
      </c>
      <c r="N212">
        <f>'Übersicht Score Index'!F212*Rezepte!AR212</f>
        <v>0</v>
      </c>
      <c r="O212">
        <f>'Übersicht Score Index'!G212*Rezepte!AP212</f>
        <v>0</v>
      </c>
      <c r="P212">
        <f>'Übersicht Score Index'!G212*Rezepte!AQ212</f>
        <v>0</v>
      </c>
      <c r="Q212">
        <f>'Übersicht Score Index'!G212*Rezepte!AR212</f>
        <v>0</v>
      </c>
      <c r="R212">
        <f>'Übersicht Score Index'!H212*Rezepte!AP212</f>
        <v>0</v>
      </c>
      <c r="S212">
        <f>'Übersicht Score Index'!H212*Rezepte!AQ212</f>
        <v>0</v>
      </c>
      <c r="T212">
        <f>'Übersicht Score Index'!H212*Rezepte!AR212</f>
        <v>0</v>
      </c>
      <c r="U212">
        <f>'Übersicht Score Index'!I212*Rezepte!AP212</f>
        <v>0</v>
      </c>
      <c r="V212">
        <f>'Übersicht Score Index'!I212*Rezepte!AQ212</f>
        <v>0</v>
      </c>
      <c r="W212">
        <f>'Übersicht Score Index'!I212*Rezepte!AR212</f>
        <v>0</v>
      </c>
    </row>
    <row r="213" spans="1:23" x14ac:dyDescent="0.3">
      <c r="A213" s="2" t="s">
        <v>430</v>
      </c>
      <c r="B213" s="2" t="s">
        <v>431</v>
      </c>
      <c r="C213">
        <f>'Übersicht Score Index'!C213*Rezepte!AP213</f>
        <v>0</v>
      </c>
      <c r="D213">
        <f>'Übersicht Score Index'!C213*Rezepte!AQ213</f>
        <v>0</v>
      </c>
      <c r="E213">
        <f>'Übersicht Score Index'!C213*Rezepte!AR213</f>
        <v>0</v>
      </c>
      <c r="F213">
        <f>'Übersicht Score Index'!D213*Rezepte!AP213</f>
        <v>0</v>
      </c>
      <c r="G213">
        <f>'Übersicht Score Index'!D213*Rezepte!AQ213</f>
        <v>0</v>
      </c>
      <c r="H213">
        <f>'Übersicht Score Index'!D213*Rezepte!AR213</f>
        <v>0</v>
      </c>
      <c r="I213">
        <f>'Übersicht Score Index'!E213*Rezepte!AP213</f>
        <v>0</v>
      </c>
      <c r="J213">
        <f>'Übersicht Score Index'!E213*Rezepte!AQ213</f>
        <v>0</v>
      </c>
      <c r="K213">
        <f>'Übersicht Score Index'!E213*Rezepte!AR213</f>
        <v>0</v>
      </c>
      <c r="L213">
        <f>'Übersicht Score Index'!F213*Rezepte!AP213</f>
        <v>0</v>
      </c>
      <c r="M213">
        <f>'Übersicht Score Index'!F213*Rezepte!AQ213</f>
        <v>0</v>
      </c>
      <c r="N213">
        <f>'Übersicht Score Index'!F213*Rezepte!AR213</f>
        <v>0</v>
      </c>
      <c r="O213">
        <f>'Übersicht Score Index'!G213*Rezepte!AP213</f>
        <v>0</v>
      </c>
      <c r="P213">
        <f>'Übersicht Score Index'!G213*Rezepte!AQ213</f>
        <v>0</v>
      </c>
      <c r="Q213">
        <f>'Übersicht Score Index'!G213*Rezepte!AR213</f>
        <v>0</v>
      </c>
      <c r="R213">
        <f>'Übersicht Score Index'!H213*Rezepte!AP213</f>
        <v>0</v>
      </c>
      <c r="S213">
        <f>'Übersicht Score Index'!H213*Rezepte!AQ213</f>
        <v>0</v>
      </c>
      <c r="T213">
        <f>'Übersicht Score Index'!H213*Rezepte!AR213</f>
        <v>0</v>
      </c>
      <c r="U213">
        <f>'Übersicht Score Index'!I213*Rezepte!AP213</f>
        <v>0</v>
      </c>
      <c r="V213">
        <f>'Übersicht Score Index'!I213*Rezepte!AQ213</f>
        <v>0</v>
      </c>
      <c r="W213">
        <f>'Übersicht Score Index'!I213*Rezepte!AR213</f>
        <v>0</v>
      </c>
    </row>
    <row r="214" spans="1:23" x14ac:dyDescent="0.3">
      <c r="A214" s="2" t="s">
        <v>432</v>
      </c>
      <c r="B214" s="2" t="s">
        <v>433</v>
      </c>
      <c r="C214">
        <f>'Übersicht Score Index'!C214*Rezepte!AP214</f>
        <v>0</v>
      </c>
      <c r="D214">
        <f>'Übersicht Score Index'!C214*Rezepte!AQ214</f>
        <v>0</v>
      </c>
      <c r="E214">
        <f>'Übersicht Score Index'!C214*Rezepte!AR214</f>
        <v>0</v>
      </c>
      <c r="F214">
        <f>'Übersicht Score Index'!D214*Rezepte!AP214</f>
        <v>0</v>
      </c>
      <c r="G214">
        <f>'Übersicht Score Index'!D214*Rezepte!AQ214</f>
        <v>0</v>
      </c>
      <c r="H214">
        <f>'Übersicht Score Index'!D214*Rezepte!AR214</f>
        <v>0</v>
      </c>
      <c r="I214">
        <f>'Übersicht Score Index'!E214*Rezepte!AP214</f>
        <v>0</v>
      </c>
      <c r="J214">
        <f>'Übersicht Score Index'!E214*Rezepte!AQ214</f>
        <v>0</v>
      </c>
      <c r="K214">
        <f>'Übersicht Score Index'!E214*Rezepte!AR214</f>
        <v>0</v>
      </c>
      <c r="L214">
        <f>'Übersicht Score Index'!F214*Rezepte!AP214</f>
        <v>0</v>
      </c>
      <c r="M214">
        <f>'Übersicht Score Index'!F214*Rezepte!AQ214</f>
        <v>0</v>
      </c>
      <c r="N214">
        <f>'Übersicht Score Index'!F214*Rezepte!AR214</f>
        <v>0</v>
      </c>
      <c r="O214">
        <f>'Übersicht Score Index'!G214*Rezepte!AP214</f>
        <v>0</v>
      </c>
      <c r="P214">
        <f>'Übersicht Score Index'!G214*Rezepte!AQ214</f>
        <v>0</v>
      </c>
      <c r="Q214">
        <f>'Übersicht Score Index'!G214*Rezepte!AR214</f>
        <v>0</v>
      </c>
      <c r="R214">
        <f>'Übersicht Score Index'!H214*Rezepte!AP214</f>
        <v>0</v>
      </c>
      <c r="S214">
        <f>'Übersicht Score Index'!H214*Rezepte!AQ214</f>
        <v>0</v>
      </c>
      <c r="T214">
        <f>'Übersicht Score Index'!H214*Rezepte!AR214</f>
        <v>0</v>
      </c>
      <c r="U214">
        <f>'Übersicht Score Index'!I214*Rezepte!AP214</f>
        <v>0</v>
      </c>
      <c r="V214">
        <f>'Übersicht Score Index'!I214*Rezepte!AQ214</f>
        <v>0</v>
      </c>
      <c r="W214">
        <f>'Übersicht Score Index'!I214*Rezepte!AR214</f>
        <v>0</v>
      </c>
    </row>
    <row r="215" spans="1:23" x14ac:dyDescent="0.3">
      <c r="A215" s="2" t="s">
        <v>434</v>
      </c>
      <c r="B215" s="2" t="s">
        <v>435</v>
      </c>
      <c r="C215">
        <f>'Übersicht Score Index'!C215*Rezepte!AP215</f>
        <v>0</v>
      </c>
      <c r="D215">
        <f>'Übersicht Score Index'!C215*Rezepte!AQ215</f>
        <v>0</v>
      </c>
      <c r="E215">
        <f>'Übersicht Score Index'!C215*Rezepte!AR215</f>
        <v>0</v>
      </c>
      <c r="F215">
        <f>'Übersicht Score Index'!D215*Rezepte!AP215</f>
        <v>0</v>
      </c>
      <c r="G215">
        <f>'Übersicht Score Index'!D215*Rezepte!AQ215</f>
        <v>0</v>
      </c>
      <c r="H215">
        <f>'Übersicht Score Index'!D215*Rezepte!AR215</f>
        <v>0</v>
      </c>
      <c r="I215">
        <f>'Übersicht Score Index'!E215*Rezepte!AP215</f>
        <v>1.6022727272727272E-2</v>
      </c>
      <c r="J215">
        <f>'Übersicht Score Index'!E215*Rezepte!AQ215</f>
        <v>8.0113636363636359E-3</v>
      </c>
      <c r="K215">
        <f>'Übersicht Score Index'!E215*Rezepte!AR215</f>
        <v>8.0113636363636359E-3</v>
      </c>
      <c r="L215">
        <f>'Übersicht Score Index'!F215*Rezepte!AP215</f>
        <v>0</v>
      </c>
      <c r="M215">
        <f>'Übersicht Score Index'!F215*Rezepte!AQ215</f>
        <v>0</v>
      </c>
      <c r="N215">
        <f>'Übersicht Score Index'!F215*Rezepte!AR215</f>
        <v>0</v>
      </c>
      <c r="O215">
        <f>'Übersicht Score Index'!G215*Rezepte!AP215</f>
        <v>0</v>
      </c>
      <c r="P215">
        <f>'Übersicht Score Index'!G215*Rezepte!AQ215</f>
        <v>0</v>
      </c>
      <c r="Q215">
        <f>'Übersicht Score Index'!G215*Rezepte!AR215</f>
        <v>0</v>
      </c>
      <c r="R215">
        <f>'Übersicht Score Index'!H215*Rezepte!AP215</f>
        <v>0</v>
      </c>
      <c r="S215">
        <f>'Übersicht Score Index'!H215*Rezepte!AQ215</f>
        <v>0</v>
      </c>
      <c r="T215">
        <f>'Übersicht Score Index'!H215*Rezepte!AR215</f>
        <v>0</v>
      </c>
      <c r="U215">
        <f>'Übersicht Score Index'!I215*Rezepte!AP215</f>
        <v>0</v>
      </c>
      <c r="V215">
        <f>'Übersicht Score Index'!I215*Rezepte!AQ215</f>
        <v>0</v>
      </c>
      <c r="W215">
        <f>'Übersicht Score Index'!I215*Rezepte!AR215</f>
        <v>0</v>
      </c>
    </row>
    <row r="216" spans="1:23" x14ac:dyDescent="0.3">
      <c r="A216" s="2" t="s">
        <v>436</v>
      </c>
      <c r="B216" s="2" t="s">
        <v>437</v>
      </c>
      <c r="C216">
        <f>'Übersicht Score Index'!C216*Rezepte!AP216</f>
        <v>0</v>
      </c>
      <c r="D216">
        <f>'Übersicht Score Index'!C216*Rezepte!AQ216</f>
        <v>0</v>
      </c>
      <c r="E216">
        <f>'Übersicht Score Index'!C216*Rezepte!AR216</f>
        <v>0</v>
      </c>
      <c r="F216">
        <f>'Übersicht Score Index'!D216*Rezepte!AP216</f>
        <v>0</v>
      </c>
      <c r="G216">
        <f>'Übersicht Score Index'!D216*Rezepte!AQ216</f>
        <v>0</v>
      </c>
      <c r="H216">
        <f>'Übersicht Score Index'!D216*Rezepte!AR216</f>
        <v>0</v>
      </c>
      <c r="I216">
        <f>'Übersicht Score Index'!E216*Rezepte!AP216</f>
        <v>0</v>
      </c>
      <c r="J216">
        <f>'Übersicht Score Index'!E216*Rezepte!AQ216</f>
        <v>0</v>
      </c>
      <c r="K216">
        <f>'Übersicht Score Index'!E216*Rezepte!AR216</f>
        <v>0</v>
      </c>
      <c r="L216">
        <f>'Übersicht Score Index'!F216*Rezepte!AP216</f>
        <v>0</v>
      </c>
      <c r="M216">
        <f>'Übersicht Score Index'!F216*Rezepte!AQ216</f>
        <v>0</v>
      </c>
      <c r="N216">
        <f>'Übersicht Score Index'!F216*Rezepte!AR216</f>
        <v>0</v>
      </c>
      <c r="O216">
        <f>'Übersicht Score Index'!G216*Rezepte!AP216</f>
        <v>0</v>
      </c>
      <c r="P216">
        <f>'Übersicht Score Index'!G216*Rezepte!AQ216</f>
        <v>0</v>
      </c>
      <c r="Q216">
        <f>'Übersicht Score Index'!G216*Rezepte!AR216</f>
        <v>0</v>
      </c>
      <c r="R216">
        <f>'Übersicht Score Index'!H216*Rezepte!AP216</f>
        <v>0</v>
      </c>
      <c r="S216">
        <f>'Übersicht Score Index'!H216*Rezepte!AQ216</f>
        <v>0</v>
      </c>
      <c r="T216">
        <f>'Übersicht Score Index'!H216*Rezepte!AR216</f>
        <v>0</v>
      </c>
      <c r="U216">
        <f>'Übersicht Score Index'!I216*Rezepte!AP216</f>
        <v>0</v>
      </c>
      <c r="V216">
        <f>'Übersicht Score Index'!I216*Rezepte!AQ216</f>
        <v>0</v>
      </c>
      <c r="W216">
        <f>'Übersicht Score Index'!I216*Rezepte!AR216</f>
        <v>0</v>
      </c>
    </row>
    <row r="217" spans="1:23" x14ac:dyDescent="0.3">
      <c r="A217" s="2" t="s">
        <v>438</v>
      </c>
      <c r="B217" s="2" t="s">
        <v>439</v>
      </c>
      <c r="C217">
        <f>'Übersicht Score Index'!C217*Rezepte!AP217</f>
        <v>0</v>
      </c>
      <c r="D217">
        <f>'Übersicht Score Index'!C217*Rezepte!AQ217</f>
        <v>0</v>
      </c>
      <c r="E217">
        <f>'Übersicht Score Index'!C217*Rezepte!AR217</f>
        <v>0</v>
      </c>
      <c r="F217">
        <f>'Übersicht Score Index'!D217*Rezepte!AP217</f>
        <v>0</v>
      </c>
      <c r="G217">
        <f>'Übersicht Score Index'!D217*Rezepte!AQ217</f>
        <v>0</v>
      </c>
      <c r="H217">
        <f>'Übersicht Score Index'!D217*Rezepte!AR217</f>
        <v>0</v>
      </c>
      <c r="I217">
        <f>'Übersicht Score Index'!E217*Rezepte!AP217</f>
        <v>0</v>
      </c>
      <c r="J217">
        <f>'Übersicht Score Index'!E217*Rezepte!AQ217</f>
        <v>0</v>
      </c>
      <c r="K217">
        <f>'Übersicht Score Index'!E217*Rezepte!AR217</f>
        <v>0</v>
      </c>
      <c r="L217">
        <f>'Übersicht Score Index'!F217*Rezepte!AP217</f>
        <v>0</v>
      </c>
      <c r="M217">
        <f>'Übersicht Score Index'!F217*Rezepte!AQ217</f>
        <v>0</v>
      </c>
      <c r="N217">
        <f>'Übersicht Score Index'!F217*Rezepte!AR217</f>
        <v>0</v>
      </c>
      <c r="O217">
        <f>'Übersicht Score Index'!G217*Rezepte!AP217</f>
        <v>0</v>
      </c>
      <c r="P217">
        <f>'Übersicht Score Index'!G217*Rezepte!AQ217</f>
        <v>0</v>
      </c>
      <c r="Q217">
        <f>'Übersicht Score Index'!G217*Rezepte!AR217</f>
        <v>0</v>
      </c>
      <c r="R217">
        <f>'Übersicht Score Index'!H217*Rezepte!AP217</f>
        <v>0</v>
      </c>
      <c r="S217">
        <f>'Übersicht Score Index'!H217*Rezepte!AQ217</f>
        <v>0</v>
      </c>
      <c r="T217">
        <f>'Übersicht Score Index'!H217*Rezepte!AR217</f>
        <v>0</v>
      </c>
      <c r="U217">
        <f>'Übersicht Score Index'!I217*Rezepte!AP217</f>
        <v>0</v>
      </c>
      <c r="V217">
        <f>'Übersicht Score Index'!I217*Rezepte!AQ217</f>
        <v>0</v>
      </c>
      <c r="W217">
        <f>'Übersicht Score Index'!I217*Rezepte!AR217</f>
        <v>0</v>
      </c>
    </row>
    <row r="218" spans="1:23" x14ac:dyDescent="0.3">
      <c r="A218" s="2" t="s">
        <v>440</v>
      </c>
      <c r="B218" s="2" t="s">
        <v>441</v>
      </c>
      <c r="C218">
        <f>'Übersicht Score Index'!C218*Rezepte!AP218</f>
        <v>0</v>
      </c>
      <c r="D218">
        <f>'Übersicht Score Index'!C218*Rezepte!AQ218</f>
        <v>0</v>
      </c>
      <c r="E218">
        <f>'Übersicht Score Index'!C218*Rezepte!AR218</f>
        <v>0</v>
      </c>
      <c r="F218">
        <f>'Übersicht Score Index'!D218*Rezepte!AP218</f>
        <v>0</v>
      </c>
      <c r="G218">
        <f>'Übersicht Score Index'!D218*Rezepte!AQ218</f>
        <v>0</v>
      </c>
      <c r="H218">
        <f>'Übersicht Score Index'!D218*Rezepte!AR218</f>
        <v>0</v>
      </c>
      <c r="I218">
        <f>'Übersicht Score Index'!E218*Rezepte!AP218</f>
        <v>0</v>
      </c>
      <c r="J218">
        <f>'Übersicht Score Index'!E218*Rezepte!AQ218</f>
        <v>0</v>
      </c>
      <c r="K218">
        <f>'Übersicht Score Index'!E218*Rezepte!AR218</f>
        <v>0</v>
      </c>
      <c r="L218">
        <f>'Übersicht Score Index'!F218*Rezepte!AP218</f>
        <v>0</v>
      </c>
      <c r="M218">
        <f>'Übersicht Score Index'!F218*Rezepte!AQ218</f>
        <v>0</v>
      </c>
      <c r="N218">
        <f>'Übersicht Score Index'!F218*Rezepte!AR218</f>
        <v>0</v>
      </c>
      <c r="O218">
        <f>'Übersicht Score Index'!G218*Rezepte!AP218</f>
        <v>0</v>
      </c>
      <c r="P218">
        <f>'Übersicht Score Index'!G218*Rezepte!AQ218</f>
        <v>0</v>
      </c>
      <c r="Q218">
        <f>'Übersicht Score Index'!G218*Rezepte!AR218</f>
        <v>0</v>
      </c>
      <c r="R218">
        <f>'Übersicht Score Index'!H218*Rezepte!AP218</f>
        <v>0</v>
      </c>
      <c r="S218">
        <f>'Übersicht Score Index'!H218*Rezepte!AQ218</f>
        <v>0</v>
      </c>
      <c r="T218">
        <f>'Übersicht Score Index'!H218*Rezepte!AR218</f>
        <v>0</v>
      </c>
      <c r="U218">
        <f>'Übersicht Score Index'!I218*Rezepte!AP218</f>
        <v>0</v>
      </c>
      <c r="V218">
        <f>'Übersicht Score Index'!I218*Rezepte!AQ218</f>
        <v>0</v>
      </c>
      <c r="W218">
        <f>'Übersicht Score Index'!I218*Rezepte!AR218</f>
        <v>0</v>
      </c>
    </row>
    <row r="219" spans="1:23" x14ac:dyDescent="0.3">
      <c r="A219" s="2" t="s">
        <v>442</v>
      </c>
      <c r="B219" s="2" t="s">
        <v>443</v>
      </c>
      <c r="C219">
        <f>'Übersicht Score Index'!C219*Rezepte!AP219</f>
        <v>0</v>
      </c>
      <c r="D219">
        <f>'Übersicht Score Index'!C219*Rezepte!AQ219</f>
        <v>0</v>
      </c>
      <c r="E219">
        <f>'Übersicht Score Index'!C219*Rezepte!AR219</f>
        <v>0</v>
      </c>
      <c r="F219">
        <f>'Übersicht Score Index'!D219*Rezepte!AP219</f>
        <v>0.25987181054506714</v>
      </c>
      <c r="G219">
        <f>'Übersicht Score Index'!D219*Rezepte!AQ219</f>
        <v>0.12993590527253357</v>
      </c>
      <c r="H219">
        <f>'Übersicht Score Index'!D219*Rezepte!AR219</f>
        <v>0.12993590527253357</v>
      </c>
      <c r="I219">
        <f>'Übersicht Score Index'!E219*Rezepte!AP219</f>
        <v>0</v>
      </c>
      <c r="J219">
        <f>'Übersicht Score Index'!E219*Rezepte!AQ219</f>
        <v>0</v>
      </c>
      <c r="K219">
        <f>'Übersicht Score Index'!E219*Rezepte!AR219</f>
        <v>0</v>
      </c>
      <c r="L219">
        <f>'Übersicht Score Index'!F219*Rezepte!AP219</f>
        <v>0</v>
      </c>
      <c r="M219">
        <f>'Übersicht Score Index'!F219*Rezepte!AQ219</f>
        <v>0</v>
      </c>
      <c r="N219">
        <f>'Übersicht Score Index'!F219*Rezepte!AR219</f>
        <v>0</v>
      </c>
      <c r="O219">
        <f>'Übersicht Score Index'!G219*Rezepte!AP219</f>
        <v>0</v>
      </c>
      <c r="P219">
        <f>'Übersicht Score Index'!G219*Rezepte!AQ219</f>
        <v>0</v>
      </c>
      <c r="Q219">
        <f>'Übersicht Score Index'!G219*Rezepte!AR219</f>
        <v>0</v>
      </c>
      <c r="R219">
        <f>'Übersicht Score Index'!H219*Rezepte!AP219</f>
        <v>0</v>
      </c>
      <c r="S219">
        <f>'Übersicht Score Index'!H219*Rezepte!AQ219</f>
        <v>0</v>
      </c>
      <c r="T219">
        <f>'Übersicht Score Index'!H219*Rezepte!AR219</f>
        <v>0</v>
      </c>
      <c r="U219">
        <f>'Übersicht Score Index'!I219*Rezepte!AP219</f>
        <v>0</v>
      </c>
      <c r="V219">
        <f>'Übersicht Score Index'!I219*Rezepte!AQ219</f>
        <v>0</v>
      </c>
      <c r="W219">
        <f>'Übersicht Score Index'!I219*Rezepte!AR219</f>
        <v>0</v>
      </c>
    </row>
    <row r="220" spans="1:23" x14ac:dyDescent="0.3">
      <c r="A220" s="2" t="s">
        <v>444</v>
      </c>
      <c r="B220" s="2" t="s">
        <v>445</v>
      </c>
      <c r="C220">
        <f>'Übersicht Score Index'!C220*Rezepte!AP220</f>
        <v>0</v>
      </c>
      <c r="D220">
        <f>'Übersicht Score Index'!C220*Rezepte!AQ220</f>
        <v>0</v>
      </c>
      <c r="E220">
        <f>'Übersicht Score Index'!C220*Rezepte!AR220</f>
        <v>0</v>
      </c>
      <c r="F220">
        <f>'Übersicht Score Index'!D220*Rezepte!AP220</f>
        <v>0</v>
      </c>
      <c r="G220">
        <f>'Übersicht Score Index'!D220*Rezepte!AQ220</f>
        <v>0</v>
      </c>
      <c r="H220">
        <f>'Übersicht Score Index'!D220*Rezepte!AR220</f>
        <v>0</v>
      </c>
      <c r="I220">
        <f>'Übersicht Score Index'!E220*Rezepte!AP220</f>
        <v>0</v>
      </c>
      <c r="J220">
        <f>'Übersicht Score Index'!E220*Rezepte!AQ220</f>
        <v>0</v>
      </c>
      <c r="K220">
        <f>'Übersicht Score Index'!E220*Rezepte!AR220</f>
        <v>0</v>
      </c>
      <c r="L220">
        <f>'Übersicht Score Index'!F220*Rezepte!AP220</f>
        <v>0</v>
      </c>
      <c r="M220">
        <f>'Übersicht Score Index'!F220*Rezepte!AQ220</f>
        <v>0</v>
      </c>
      <c r="N220">
        <f>'Übersicht Score Index'!F220*Rezepte!AR220</f>
        <v>0</v>
      </c>
      <c r="O220">
        <f>'Übersicht Score Index'!G220*Rezepte!AP220</f>
        <v>0</v>
      </c>
      <c r="P220">
        <f>'Übersicht Score Index'!G220*Rezepte!AQ220</f>
        <v>0</v>
      </c>
      <c r="Q220">
        <f>'Übersicht Score Index'!G220*Rezepte!AR220</f>
        <v>0</v>
      </c>
      <c r="R220">
        <f>'Übersicht Score Index'!H220*Rezepte!AP220</f>
        <v>0</v>
      </c>
      <c r="S220">
        <f>'Übersicht Score Index'!H220*Rezepte!AQ220</f>
        <v>0</v>
      </c>
      <c r="T220">
        <f>'Übersicht Score Index'!H220*Rezepte!AR220</f>
        <v>0</v>
      </c>
      <c r="U220">
        <f>'Übersicht Score Index'!I220*Rezepte!AP220</f>
        <v>0</v>
      </c>
      <c r="V220">
        <f>'Übersicht Score Index'!I220*Rezepte!AQ220</f>
        <v>0</v>
      </c>
      <c r="W220">
        <f>'Übersicht Score Index'!I220*Rezepte!AR220</f>
        <v>0</v>
      </c>
    </row>
    <row r="221" spans="1:23" x14ac:dyDescent="0.3">
      <c r="A221" s="2" t="s">
        <v>446</v>
      </c>
      <c r="B221" s="2" t="s">
        <v>447</v>
      </c>
      <c r="C221">
        <f>'Übersicht Score Index'!C221*Rezepte!AP221</f>
        <v>0</v>
      </c>
      <c r="D221">
        <f>'Übersicht Score Index'!C221*Rezepte!AQ221</f>
        <v>0</v>
      </c>
      <c r="E221">
        <f>'Übersicht Score Index'!C221*Rezepte!AR221</f>
        <v>0</v>
      </c>
      <c r="F221">
        <f>'Übersicht Score Index'!D221*Rezepte!AP221</f>
        <v>0</v>
      </c>
      <c r="G221">
        <f>'Übersicht Score Index'!D221*Rezepte!AQ221</f>
        <v>0</v>
      </c>
      <c r="H221">
        <f>'Übersicht Score Index'!D221*Rezepte!AR221</f>
        <v>0</v>
      </c>
      <c r="I221">
        <f>'Übersicht Score Index'!E221*Rezepte!AP221</f>
        <v>0</v>
      </c>
      <c r="J221">
        <f>'Übersicht Score Index'!E221*Rezepte!AQ221</f>
        <v>0</v>
      </c>
      <c r="K221">
        <f>'Übersicht Score Index'!E221*Rezepte!AR221</f>
        <v>0</v>
      </c>
      <c r="L221">
        <f>'Übersicht Score Index'!F221*Rezepte!AP221</f>
        <v>0</v>
      </c>
      <c r="M221">
        <f>'Übersicht Score Index'!F221*Rezepte!AQ221</f>
        <v>0</v>
      </c>
      <c r="N221">
        <f>'Übersicht Score Index'!F221*Rezepte!AR221</f>
        <v>0</v>
      </c>
      <c r="O221">
        <f>'Übersicht Score Index'!G221*Rezepte!AP221</f>
        <v>0</v>
      </c>
      <c r="P221">
        <f>'Übersicht Score Index'!G221*Rezepte!AQ221</f>
        <v>0</v>
      </c>
      <c r="Q221">
        <f>'Übersicht Score Index'!G221*Rezepte!AR221</f>
        <v>0</v>
      </c>
      <c r="R221">
        <f>'Übersicht Score Index'!H221*Rezepte!AP221</f>
        <v>0</v>
      </c>
      <c r="S221">
        <f>'Übersicht Score Index'!H221*Rezepte!AQ221</f>
        <v>0</v>
      </c>
      <c r="T221">
        <f>'Übersicht Score Index'!H221*Rezepte!AR221</f>
        <v>0</v>
      </c>
      <c r="U221">
        <f>'Übersicht Score Index'!I221*Rezepte!AP221</f>
        <v>0</v>
      </c>
      <c r="V221">
        <f>'Übersicht Score Index'!I221*Rezepte!AQ221</f>
        <v>0</v>
      </c>
      <c r="W221">
        <f>'Übersicht Score Index'!I221*Rezepte!AR221</f>
        <v>0</v>
      </c>
    </row>
    <row r="222" spans="1:23" x14ac:dyDescent="0.3">
      <c r="A222" s="2" t="s">
        <v>448</v>
      </c>
      <c r="B222" s="2" t="s">
        <v>449</v>
      </c>
      <c r="C222">
        <f>'Übersicht Score Index'!C222*Rezepte!AP222</f>
        <v>0</v>
      </c>
      <c r="D222">
        <f>'Übersicht Score Index'!C222*Rezepte!AQ222</f>
        <v>0</v>
      </c>
      <c r="E222">
        <f>'Übersicht Score Index'!C222*Rezepte!AR222</f>
        <v>0</v>
      </c>
      <c r="F222">
        <f>'Übersicht Score Index'!D222*Rezepte!AP222</f>
        <v>0</v>
      </c>
      <c r="G222">
        <f>'Übersicht Score Index'!D222*Rezepte!AQ222</f>
        <v>0</v>
      </c>
      <c r="H222">
        <f>'Übersicht Score Index'!D222*Rezepte!AR222</f>
        <v>0</v>
      </c>
      <c r="I222">
        <f>'Übersicht Score Index'!E222*Rezepte!AP222</f>
        <v>0</v>
      </c>
      <c r="J222">
        <f>'Übersicht Score Index'!E222*Rezepte!AQ222</f>
        <v>0</v>
      </c>
      <c r="K222">
        <f>'Übersicht Score Index'!E222*Rezepte!AR222</f>
        <v>0</v>
      </c>
      <c r="L222">
        <f>'Übersicht Score Index'!F222*Rezepte!AP222</f>
        <v>0</v>
      </c>
      <c r="M222">
        <f>'Übersicht Score Index'!F222*Rezepte!AQ222</f>
        <v>0</v>
      </c>
      <c r="N222">
        <f>'Übersicht Score Index'!F222*Rezepte!AR222</f>
        <v>0</v>
      </c>
      <c r="O222">
        <f>'Übersicht Score Index'!G222*Rezepte!AP222</f>
        <v>0</v>
      </c>
      <c r="P222">
        <f>'Übersicht Score Index'!G222*Rezepte!AQ222</f>
        <v>0</v>
      </c>
      <c r="Q222">
        <f>'Übersicht Score Index'!G222*Rezepte!AR222</f>
        <v>0</v>
      </c>
      <c r="R222">
        <f>'Übersicht Score Index'!H222*Rezepte!AP222</f>
        <v>0</v>
      </c>
      <c r="S222">
        <f>'Übersicht Score Index'!H222*Rezepte!AQ222</f>
        <v>0</v>
      </c>
      <c r="T222">
        <f>'Übersicht Score Index'!H222*Rezepte!AR222</f>
        <v>0</v>
      </c>
      <c r="U222">
        <f>'Übersicht Score Index'!I222*Rezepte!AP222</f>
        <v>0</v>
      </c>
      <c r="V222">
        <f>'Übersicht Score Index'!I222*Rezepte!AQ222</f>
        <v>0</v>
      </c>
      <c r="W222">
        <f>'Übersicht Score Index'!I222*Rezepte!AR222</f>
        <v>0</v>
      </c>
    </row>
    <row r="223" spans="1:23" x14ac:dyDescent="0.3">
      <c r="A223" s="2" t="s">
        <v>450</v>
      </c>
      <c r="B223" s="2" t="s">
        <v>451</v>
      </c>
      <c r="C223">
        <f>'Übersicht Score Index'!C223*Rezepte!AP223</f>
        <v>0</v>
      </c>
      <c r="D223">
        <f>'Übersicht Score Index'!C223*Rezepte!AQ223</f>
        <v>0</v>
      </c>
      <c r="E223">
        <f>'Übersicht Score Index'!C223*Rezepte!AR223</f>
        <v>0</v>
      </c>
      <c r="F223">
        <f>'Übersicht Score Index'!D223*Rezepte!AP223</f>
        <v>0</v>
      </c>
      <c r="G223">
        <f>'Übersicht Score Index'!D223*Rezepte!AQ223</f>
        <v>0</v>
      </c>
      <c r="H223">
        <f>'Übersicht Score Index'!D223*Rezepte!AR223</f>
        <v>0</v>
      </c>
      <c r="I223">
        <f>'Übersicht Score Index'!E223*Rezepte!AP223</f>
        <v>0</v>
      </c>
      <c r="J223">
        <f>'Übersicht Score Index'!E223*Rezepte!AQ223</f>
        <v>0</v>
      </c>
      <c r="K223">
        <f>'Übersicht Score Index'!E223*Rezepte!AR223</f>
        <v>0</v>
      </c>
      <c r="L223">
        <f>'Übersicht Score Index'!F223*Rezepte!AP223</f>
        <v>0</v>
      </c>
      <c r="M223">
        <f>'Übersicht Score Index'!F223*Rezepte!AQ223</f>
        <v>0</v>
      </c>
      <c r="N223">
        <f>'Übersicht Score Index'!F223*Rezepte!AR223</f>
        <v>0</v>
      </c>
      <c r="O223">
        <f>'Übersicht Score Index'!G223*Rezepte!AP223</f>
        <v>0</v>
      </c>
      <c r="P223">
        <f>'Übersicht Score Index'!G223*Rezepte!AQ223</f>
        <v>0</v>
      </c>
      <c r="Q223">
        <f>'Übersicht Score Index'!G223*Rezepte!AR223</f>
        <v>0</v>
      </c>
      <c r="R223">
        <f>'Übersicht Score Index'!H223*Rezepte!AP223</f>
        <v>0</v>
      </c>
      <c r="S223">
        <f>'Übersicht Score Index'!H223*Rezepte!AQ223</f>
        <v>0</v>
      </c>
      <c r="T223">
        <f>'Übersicht Score Index'!H223*Rezepte!AR223</f>
        <v>0</v>
      </c>
      <c r="U223">
        <f>'Übersicht Score Index'!I223*Rezepte!AP223</f>
        <v>0</v>
      </c>
      <c r="V223">
        <f>'Übersicht Score Index'!I223*Rezepte!AQ223</f>
        <v>0</v>
      </c>
      <c r="W223">
        <f>'Übersicht Score Index'!I223*Rezepte!AR223</f>
        <v>0</v>
      </c>
    </row>
    <row r="224" spans="1:23" x14ac:dyDescent="0.3">
      <c r="A224" s="2" t="s">
        <v>452</v>
      </c>
      <c r="B224" s="2" t="s">
        <v>453</v>
      </c>
      <c r="C224">
        <f>'Übersicht Score Index'!C224*Rezepte!AP224</f>
        <v>0</v>
      </c>
      <c r="D224">
        <f>'Übersicht Score Index'!C224*Rezepte!AQ224</f>
        <v>0</v>
      </c>
      <c r="E224">
        <f>'Übersicht Score Index'!C224*Rezepte!AR224</f>
        <v>0</v>
      </c>
      <c r="F224">
        <f>'Übersicht Score Index'!D224*Rezepte!AP224</f>
        <v>0</v>
      </c>
      <c r="G224">
        <f>'Übersicht Score Index'!D224*Rezepte!AQ224</f>
        <v>0</v>
      </c>
      <c r="H224">
        <f>'Übersicht Score Index'!D224*Rezepte!AR224</f>
        <v>0</v>
      </c>
      <c r="I224">
        <f>'Übersicht Score Index'!E224*Rezepte!AP224</f>
        <v>0</v>
      </c>
      <c r="J224">
        <f>'Übersicht Score Index'!E224*Rezepte!AQ224</f>
        <v>0</v>
      </c>
      <c r="K224">
        <f>'Übersicht Score Index'!E224*Rezepte!AR224</f>
        <v>0</v>
      </c>
      <c r="L224">
        <f>'Übersicht Score Index'!F224*Rezepte!AP224</f>
        <v>0</v>
      </c>
      <c r="M224">
        <f>'Übersicht Score Index'!F224*Rezepte!AQ224</f>
        <v>0</v>
      </c>
      <c r="N224">
        <f>'Übersicht Score Index'!F224*Rezepte!AR224</f>
        <v>0</v>
      </c>
      <c r="O224">
        <f>'Übersicht Score Index'!G224*Rezepte!AP224</f>
        <v>0</v>
      </c>
      <c r="P224">
        <f>'Übersicht Score Index'!G224*Rezepte!AQ224</f>
        <v>0</v>
      </c>
      <c r="Q224">
        <f>'Übersicht Score Index'!G224*Rezepte!AR224</f>
        <v>0</v>
      </c>
      <c r="R224">
        <f>'Übersicht Score Index'!H224*Rezepte!AP224</f>
        <v>0</v>
      </c>
      <c r="S224">
        <f>'Übersicht Score Index'!H224*Rezepte!AQ224</f>
        <v>0</v>
      </c>
      <c r="T224">
        <f>'Übersicht Score Index'!H224*Rezepte!AR224</f>
        <v>0</v>
      </c>
      <c r="U224">
        <f>'Übersicht Score Index'!I224*Rezepte!AP224</f>
        <v>0</v>
      </c>
      <c r="V224">
        <f>'Übersicht Score Index'!I224*Rezepte!AQ224</f>
        <v>0</v>
      </c>
      <c r="W224">
        <f>'Übersicht Score Index'!I224*Rezepte!AR224</f>
        <v>0</v>
      </c>
    </row>
    <row r="225" spans="1:23" x14ac:dyDescent="0.3">
      <c r="A225" s="2" t="s">
        <v>454</v>
      </c>
      <c r="B225" s="2" t="s">
        <v>455</v>
      </c>
      <c r="C225">
        <f>'Übersicht Score Index'!C225*Rezepte!AP225</f>
        <v>0</v>
      </c>
      <c r="D225">
        <f>'Übersicht Score Index'!C225*Rezepte!AQ225</f>
        <v>0</v>
      </c>
      <c r="E225">
        <f>'Übersicht Score Index'!C225*Rezepte!AR225</f>
        <v>0</v>
      </c>
      <c r="F225">
        <f>'Übersicht Score Index'!D225*Rezepte!AP225</f>
        <v>0</v>
      </c>
      <c r="G225">
        <f>'Übersicht Score Index'!D225*Rezepte!AQ225</f>
        <v>0</v>
      </c>
      <c r="H225">
        <f>'Übersicht Score Index'!D225*Rezepte!AR225</f>
        <v>0</v>
      </c>
      <c r="I225">
        <f>'Übersicht Score Index'!E225*Rezepte!AP225</f>
        <v>0</v>
      </c>
      <c r="J225">
        <f>'Übersicht Score Index'!E225*Rezepte!AQ225</f>
        <v>0</v>
      </c>
      <c r="K225">
        <f>'Übersicht Score Index'!E225*Rezepte!AR225</f>
        <v>0</v>
      </c>
      <c r="L225">
        <f>'Übersicht Score Index'!F225*Rezepte!AP225</f>
        <v>0</v>
      </c>
      <c r="M225">
        <f>'Übersicht Score Index'!F225*Rezepte!AQ225</f>
        <v>0</v>
      </c>
      <c r="N225">
        <f>'Übersicht Score Index'!F225*Rezepte!AR225</f>
        <v>0</v>
      </c>
      <c r="O225">
        <f>'Übersicht Score Index'!G225*Rezepte!AP225</f>
        <v>0</v>
      </c>
      <c r="P225">
        <f>'Übersicht Score Index'!G225*Rezepte!AQ225</f>
        <v>0</v>
      </c>
      <c r="Q225">
        <f>'Übersicht Score Index'!G225*Rezepte!AR225</f>
        <v>0</v>
      </c>
      <c r="R225">
        <f>'Übersicht Score Index'!H225*Rezepte!AP225</f>
        <v>0</v>
      </c>
      <c r="S225">
        <f>'Übersicht Score Index'!H225*Rezepte!AQ225</f>
        <v>0</v>
      </c>
      <c r="T225">
        <f>'Übersicht Score Index'!H225*Rezepte!AR225</f>
        <v>0</v>
      </c>
      <c r="U225">
        <f>'Übersicht Score Index'!I225*Rezepte!AP225</f>
        <v>0</v>
      </c>
      <c r="V225">
        <f>'Übersicht Score Index'!I225*Rezepte!AQ225</f>
        <v>0</v>
      </c>
      <c r="W225">
        <f>'Übersicht Score Index'!I225*Rezepte!AR225</f>
        <v>0</v>
      </c>
    </row>
    <row r="226" spans="1:23" x14ac:dyDescent="0.3">
      <c r="A226" s="8" t="s">
        <v>456</v>
      </c>
      <c r="B226" s="8" t="s">
        <v>457</v>
      </c>
      <c r="C226">
        <f>'Übersicht Score Index'!C226*Rezepte!AP226</f>
        <v>0</v>
      </c>
      <c r="D226">
        <f>'Übersicht Score Index'!C226*Rezepte!AQ226</f>
        <v>0</v>
      </c>
      <c r="E226">
        <f>'Übersicht Score Index'!C226*Rezepte!AR226</f>
        <v>0</v>
      </c>
      <c r="F226">
        <f>'Übersicht Score Index'!D226*Rezepte!AP226</f>
        <v>0</v>
      </c>
      <c r="G226">
        <f>'Übersicht Score Index'!D226*Rezepte!AQ226</f>
        <v>0</v>
      </c>
      <c r="H226">
        <f>'Übersicht Score Index'!D226*Rezepte!AR226</f>
        <v>0</v>
      </c>
      <c r="I226">
        <f>'Übersicht Score Index'!E226*Rezepte!AP226</f>
        <v>0</v>
      </c>
      <c r="J226">
        <f>'Übersicht Score Index'!E226*Rezepte!AQ226</f>
        <v>0</v>
      </c>
      <c r="K226">
        <f>'Übersicht Score Index'!E226*Rezepte!AR226</f>
        <v>0</v>
      </c>
      <c r="L226">
        <f>'Übersicht Score Index'!F226*Rezepte!AP226</f>
        <v>0</v>
      </c>
      <c r="M226">
        <f>'Übersicht Score Index'!F226*Rezepte!AQ226</f>
        <v>0</v>
      </c>
      <c r="N226">
        <f>'Übersicht Score Index'!F226*Rezepte!AR226</f>
        <v>0</v>
      </c>
      <c r="O226">
        <f>'Übersicht Score Index'!G226*Rezepte!AP226</f>
        <v>0</v>
      </c>
      <c r="P226">
        <f>'Übersicht Score Index'!G226*Rezepte!AQ226</f>
        <v>0</v>
      </c>
      <c r="Q226">
        <f>'Übersicht Score Index'!G226*Rezepte!AR226</f>
        <v>0</v>
      </c>
      <c r="R226">
        <f>'Übersicht Score Index'!H226*Rezepte!AP226</f>
        <v>0</v>
      </c>
      <c r="S226">
        <f>'Übersicht Score Index'!H226*Rezepte!AQ226</f>
        <v>0</v>
      </c>
      <c r="T226">
        <f>'Übersicht Score Index'!H226*Rezepte!AR226</f>
        <v>0</v>
      </c>
      <c r="U226">
        <f>'Übersicht Score Index'!I226*Rezepte!AP226</f>
        <v>0</v>
      </c>
      <c r="V226">
        <f>'Übersicht Score Index'!I226*Rezepte!AQ226</f>
        <v>0</v>
      </c>
      <c r="W226">
        <f>'Übersicht Score Index'!I226*Rezepte!AR226</f>
        <v>0</v>
      </c>
    </row>
    <row r="227" spans="1:23" ht="15" thickBot="1" x14ac:dyDescent="0.35">
      <c r="A227" s="9" t="s">
        <v>458</v>
      </c>
      <c r="B227" s="9" t="s">
        <v>459</v>
      </c>
      <c r="C227">
        <f>'Übersicht Score Index'!C227*Rezepte!AP227</f>
        <v>0</v>
      </c>
      <c r="D227">
        <f>'Übersicht Score Index'!C227*Rezepte!AQ227</f>
        <v>0</v>
      </c>
      <c r="E227">
        <f>'Übersicht Score Index'!C227*Rezepte!AR227</f>
        <v>0</v>
      </c>
      <c r="F227">
        <f>'Übersicht Score Index'!D227*Rezepte!AP227</f>
        <v>0</v>
      </c>
      <c r="G227">
        <f>'Übersicht Score Index'!D227*Rezepte!AQ227</f>
        <v>0</v>
      </c>
      <c r="H227">
        <f>'Übersicht Score Index'!D227*Rezepte!AR227</f>
        <v>0</v>
      </c>
      <c r="I227">
        <f>'Übersicht Score Index'!E227*Rezepte!AP227</f>
        <v>0</v>
      </c>
      <c r="J227">
        <f>'Übersicht Score Index'!E227*Rezepte!AQ227</f>
        <v>0</v>
      </c>
      <c r="K227">
        <f>'Übersicht Score Index'!E227*Rezepte!AR227</f>
        <v>0</v>
      </c>
      <c r="L227">
        <f>'Übersicht Score Index'!F227*Rezepte!AP227</f>
        <v>0</v>
      </c>
      <c r="M227">
        <f>'Übersicht Score Index'!F227*Rezepte!AQ227</f>
        <v>0</v>
      </c>
      <c r="N227">
        <f>'Übersicht Score Index'!F227*Rezepte!AR227</f>
        <v>0</v>
      </c>
      <c r="O227">
        <f>'Übersicht Score Index'!G227*Rezepte!AP227</f>
        <v>0</v>
      </c>
      <c r="P227">
        <f>'Übersicht Score Index'!G227*Rezepte!AQ227</f>
        <v>0</v>
      </c>
      <c r="Q227">
        <f>'Übersicht Score Index'!G227*Rezepte!AR227</f>
        <v>0</v>
      </c>
      <c r="R227">
        <f>'Übersicht Score Index'!H227*Rezepte!AP227</f>
        <v>0</v>
      </c>
      <c r="S227">
        <f>'Übersicht Score Index'!H227*Rezepte!AQ227</f>
        <v>0</v>
      </c>
      <c r="T227">
        <f>'Übersicht Score Index'!H227*Rezepte!AR227</f>
        <v>0</v>
      </c>
      <c r="U227">
        <f>'Übersicht Score Index'!I227*Rezepte!AP227</f>
        <v>0</v>
      </c>
      <c r="V227">
        <f>'Übersicht Score Index'!I227*Rezepte!AQ227</f>
        <v>0</v>
      </c>
      <c r="W227">
        <f>'Übersicht Score Index'!I227*Rezepte!AR227</f>
        <v>0</v>
      </c>
    </row>
    <row r="228" spans="1:23" x14ac:dyDescent="0.3">
      <c r="A228" s="3"/>
      <c r="B228" s="3"/>
    </row>
  </sheetData>
  <mergeCells count="7">
    <mergeCell ref="U1:W1"/>
    <mergeCell ref="C1:E1"/>
    <mergeCell ref="F1:H1"/>
    <mergeCell ref="I1:K1"/>
    <mergeCell ref="L1:N1"/>
    <mergeCell ref="O1:Q1"/>
    <mergeCell ref="R1:T1"/>
  </mergeCells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c3d0f882-8463-4fc8-8c93-fe9e190ec3f5}" enabled="1" method="Standard" siteId="{7c07b8b6-a28d-424b-8eb6-3de456e898e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Übersicht Score Index</vt:lpstr>
      <vt:lpstr>Rezepte</vt:lpstr>
      <vt:lpstr>Rezepte_Scoring</vt:lpstr>
      <vt:lpstr>Rohstoffe_im_Cluster_Scoring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 Melanie</dc:creator>
  <cp:lastModifiedBy>JANK Melanie</cp:lastModifiedBy>
  <dcterms:created xsi:type="dcterms:W3CDTF">2026-07-09T12:09:21Z</dcterms:created>
  <dcterms:modified xsi:type="dcterms:W3CDTF">2026-07-15T09:07:00Z</dcterms:modified>
</cp:coreProperties>
</file>