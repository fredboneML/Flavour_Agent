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roma\Flavor Development\Portfolio Management\K_AI\03_07_2026_Tasty\"/>
    </mc:Choice>
  </mc:AlternateContent>
  <xr:revisionPtr revIDLastSave="0" documentId="13_ncr:1_{E052A52D-66D8-4902-AE5E-B4912424E551}" xr6:coauthVersionLast="47" xr6:coauthVersionMax="47" xr10:uidLastSave="{00000000-0000-0000-0000-000000000000}"/>
  <bookViews>
    <workbookView xWindow="30612" yWindow="-108" windowWidth="30936" windowHeight="16776" activeTab="3" xr2:uid="{B8A40B84-3D84-4183-9EB5-2DE685087666}"/>
  </bookViews>
  <sheets>
    <sheet name="Übersicht" sheetId="1" r:id="rId1"/>
    <sheet name="Vorlage" sheetId="2" r:id="rId2"/>
    <sheet name="Auswertung" sheetId="3" r:id="rId3"/>
    <sheet name="Ergebniss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7" i="4" l="1"/>
  <c r="M4" i="4" l="1"/>
  <c r="N4" i="4" s="1"/>
  <c r="M5" i="4"/>
  <c r="N5" i="4" s="1"/>
  <c r="M6" i="4"/>
  <c r="N6" i="4" s="1"/>
  <c r="M7" i="4"/>
  <c r="N7" i="4" s="1"/>
  <c r="M8" i="4"/>
  <c r="N8" i="4" s="1"/>
  <c r="M9" i="4"/>
  <c r="N9" i="4" s="1"/>
  <c r="M10" i="4"/>
  <c r="N10" i="4" s="1"/>
  <c r="M11" i="4"/>
  <c r="N11" i="4" s="1"/>
  <c r="M12" i="4"/>
  <c r="N12" i="4" s="1"/>
  <c r="M13" i="4"/>
  <c r="N13" i="4" s="1"/>
  <c r="M14" i="4"/>
  <c r="N14" i="4" s="1"/>
  <c r="M15" i="4"/>
  <c r="N15" i="4" s="1"/>
  <c r="M3" i="4"/>
  <c r="N3" i="4" s="1"/>
  <c r="AH17" i="3"/>
</calcChain>
</file>

<file path=xl/sharedStrings.xml><?xml version="1.0" encoding="utf-8"?>
<sst xmlns="http://schemas.openxmlformats.org/spreadsheetml/2006/main" count="498" uniqueCount="191">
  <si>
    <t>Ursprungs-Rez.</t>
  </si>
  <si>
    <t>SAP Nr.</t>
  </si>
  <si>
    <t>Status</t>
  </si>
  <si>
    <t>Dosage</t>
  </si>
  <si>
    <t>Note allg</t>
  </si>
  <si>
    <t>Key-Words Übersicht fertige Aromen</t>
  </si>
  <si>
    <t>Cluster vorgegeben</t>
  </si>
  <si>
    <t>Jan Free Sorting</t>
  </si>
  <si>
    <t>Verkostung Notizen</t>
  </si>
  <si>
    <t>N</t>
  </si>
  <si>
    <t>1,000</t>
  </si>
  <si>
    <t>3</t>
  </si>
  <si>
    <t>Karamell</t>
  </si>
  <si>
    <t>warm</t>
  </si>
  <si>
    <t>A</t>
  </si>
  <si>
    <t>0,200</t>
  </si>
  <si>
    <t>2</t>
  </si>
  <si>
    <t>0,300</t>
  </si>
  <si>
    <t>unpleasant</t>
  </si>
  <si>
    <t>187.920</t>
  </si>
  <si>
    <t>187.894</t>
  </si>
  <si>
    <t>Walderdbeere</t>
  </si>
  <si>
    <t>188.976</t>
  </si>
  <si>
    <t>0,500</t>
  </si>
  <si>
    <t>186.179</t>
  </si>
  <si>
    <t>0,400</t>
  </si>
  <si>
    <t>186.396</t>
  </si>
  <si>
    <t>blumig</t>
  </si>
  <si>
    <t>floral</t>
  </si>
  <si>
    <t>Heidelbeere/ Jasmin</t>
  </si>
  <si>
    <t>grün</t>
  </si>
  <si>
    <t>189.014</t>
  </si>
  <si>
    <t>185.046</t>
  </si>
  <si>
    <t>0,600</t>
  </si>
  <si>
    <t>1</t>
  </si>
  <si>
    <t>green</t>
  </si>
  <si>
    <t>185.902</t>
  </si>
  <si>
    <t>185.294</t>
  </si>
  <si>
    <t>dairy</t>
  </si>
  <si>
    <t>188.977</t>
  </si>
  <si>
    <t>185.267</t>
  </si>
  <si>
    <t>Regel</t>
  </si>
  <si>
    <t>muffig</t>
  </si>
  <si>
    <t>keine eindeutige Regel gefunden</t>
  </si>
  <si>
    <t>185.028</t>
  </si>
  <si>
    <t>fruity</t>
  </si>
  <si>
    <t>reif/ muffig</t>
  </si>
  <si>
    <t>Fred M2 Rule Based</t>
  </si>
  <si>
    <t>Fred M1 Label Propagation</t>
  </si>
  <si>
    <t>Ist das Aroma richtig in dem Cluster?</t>
  </si>
  <si>
    <t>Wenn nein, zu welchem Cluster gehört es?</t>
  </si>
  <si>
    <t>JA</t>
  </si>
  <si>
    <t>NEIN</t>
  </si>
  <si>
    <t>M1 Label Propagation</t>
  </si>
  <si>
    <t>M2 Rule Based</t>
  </si>
  <si>
    <t>Clustering Fred</t>
  </si>
  <si>
    <t>185.237</t>
  </si>
  <si>
    <t>185.507</t>
  </si>
  <si>
    <t>RM</t>
  </si>
  <si>
    <t>185.044</t>
  </si>
  <si>
    <t>185.178</t>
  </si>
  <si>
    <t>187.521</t>
  </si>
  <si>
    <t>187.796</t>
  </si>
  <si>
    <t>186.981</t>
  </si>
  <si>
    <t>188.412</t>
  </si>
  <si>
    <t>187.167</t>
  </si>
  <si>
    <t>187.826</t>
  </si>
  <si>
    <t>187.246</t>
  </si>
  <si>
    <t>187.829</t>
  </si>
  <si>
    <t>188.560</t>
  </si>
  <si>
    <t>187.004</t>
  </si>
  <si>
    <t>185.513</t>
  </si>
  <si>
    <t>188.639</t>
  </si>
  <si>
    <t>Rezept Nr.</t>
  </si>
  <si>
    <t>Auswertung Panel</t>
  </si>
  <si>
    <t>Positive Antworten</t>
  </si>
  <si>
    <t>Prozent %</t>
  </si>
  <si>
    <t>Clustering AJ</t>
  </si>
  <si>
    <t>Ergebnis</t>
  </si>
  <si>
    <t>Anzahl Panelisten</t>
  </si>
  <si>
    <t>187.657P</t>
  </si>
  <si>
    <t>29201733</t>
  </si>
  <si>
    <t>0,350</t>
  </si>
  <si>
    <t>Bestand</t>
  </si>
  <si>
    <t>candy</t>
  </si>
  <si>
    <t>bonbon</t>
  </si>
  <si>
    <t>187.746P</t>
  </si>
  <si>
    <t>188.820</t>
  </si>
  <si>
    <t>185.178HP</t>
  </si>
  <si>
    <t>185.578P</t>
  </si>
  <si>
    <t>185.902P</t>
  </si>
  <si>
    <t>187.483P</t>
  </si>
  <si>
    <t>187.521P</t>
  </si>
  <si>
    <t>188.412P</t>
  </si>
  <si>
    <t>185.382P</t>
  </si>
  <si>
    <t>187.482P</t>
  </si>
  <si>
    <t>186.190P</t>
  </si>
  <si>
    <t>186.192</t>
  </si>
  <si>
    <t>29200208</t>
  </si>
  <si>
    <t>grün, fruchtig, bonbonartig, blumig</t>
  </si>
  <si>
    <t>29200716</t>
  </si>
  <si>
    <t>bonbonartig, süß, reif, Karamell</t>
  </si>
  <si>
    <t>29202497</t>
  </si>
  <si>
    <t>0,120</t>
  </si>
  <si>
    <t>sahnig, Marmelade, bonbonartig</t>
  </si>
  <si>
    <t/>
  </si>
  <si>
    <t>fruchtig, süß, saftig, Marmelade</t>
  </si>
  <si>
    <t>29200533</t>
  </si>
  <si>
    <t>fruchtig, saftig, süß, Wachs</t>
  </si>
  <si>
    <t>29200404</t>
  </si>
  <si>
    <t>0,230</t>
  </si>
  <si>
    <t>fruchtig, Karamell, Marmelade, blumig</t>
  </si>
  <si>
    <t>29201546</t>
  </si>
  <si>
    <t>0,965</t>
  </si>
  <si>
    <t>fruchtig, Wintergrün, Karamell, bonbonartig</t>
  </si>
  <si>
    <t>29201544</t>
  </si>
  <si>
    <t>fruchtig, bonbonartig, grün, sahnig</t>
  </si>
  <si>
    <t>29201585</t>
  </si>
  <si>
    <t>bonbonartig, fruchtig, Tutti-Frutti, blumig</t>
  </si>
  <si>
    <t>bonbonartig, fruchtig, blumig, grün</t>
  </si>
  <si>
    <t>29201835</t>
  </si>
  <si>
    <t>fuselig, Marmelade, sahnig, Karamell</t>
  </si>
  <si>
    <t>29202513</t>
  </si>
  <si>
    <t>fruchtig, blumig, bonbonartig, grün</t>
  </si>
  <si>
    <t>29202956</t>
  </si>
  <si>
    <t>fruchtig, bonbonartig, Karamell, sahnig</t>
  </si>
  <si>
    <t>blumig - Walderdbeere</t>
  </si>
  <si>
    <t>buttrig - reif/ muffig</t>
  </si>
  <si>
    <t>muffig/ buttrig</t>
  </si>
  <si>
    <t>buttrig</t>
  </si>
  <si>
    <t>nicht verkostet</t>
  </si>
  <si>
    <t>Reihe</t>
  </si>
  <si>
    <t>Wald, typ energy</t>
  </si>
  <si>
    <t>Apfel</t>
  </si>
  <si>
    <t>leicht floral</t>
  </si>
  <si>
    <t>Joghurt</t>
  </si>
  <si>
    <t>karamell, bonbon</t>
  </si>
  <si>
    <t>käde, muffig</t>
  </si>
  <si>
    <t>blumig, energy</t>
  </si>
  <si>
    <t>sahnig, karamell</t>
  </si>
  <si>
    <t>muffig, käse</t>
  </si>
  <si>
    <t>vergoren</t>
  </si>
  <si>
    <t>Erdbeerzucker, Joghurt</t>
  </si>
  <si>
    <t>Tomate</t>
  </si>
  <si>
    <t>blumig, jasmin</t>
  </si>
  <si>
    <t>schwach</t>
  </si>
  <si>
    <t>FTNF</t>
  </si>
  <si>
    <t>dairy, Energy</t>
  </si>
  <si>
    <t>Kochnote</t>
  </si>
  <si>
    <t>alkoholisch, Energy</t>
  </si>
  <si>
    <t>Energy</t>
  </si>
  <si>
    <t>alkoholisch</t>
  </si>
  <si>
    <t>leicht Karamell</t>
  </si>
  <si>
    <t>Energy, candy</t>
  </si>
  <si>
    <t>Marille, floral</t>
  </si>
  <si>
    <t>candy, ausgewogen</t>
  </si>
  <si>
    <t>Methylanthranilat, floral</t>
  </si>
  <si>
    <t>Fusel, FTNF</t>
  </si>
  <si>
    <t>Sauerampfer</t>
  </si>
  <si>
    <t>Walderdbeere, floral</t>
  </si>
  <si>
    <t>floral, grün aber ehr floral</t>
  </si>
  <si>
    <t>bonbon, warm</t>
  </si>
  <si>
    <t>warm, bonbon</t>
  </si>
  <si>
    <t>floral, Salycilat</t>
  </si>
  <si>
    <t>warm, karamell</t>
  </si>
  <si>
    <t>P1</t>
  </si>
  <si>
    <t>P2</t>
  </si>
  <si>
    <t>P3</t>
  </si>
  <si>
    <t>P4</t>
  </si>
  <si>
    <t>P5</t>
  </si>
  <si>
    <t>P6</t>
  </si>
  <si>
    <t>P7</t>
  </si>
  <si>
    <t>P1 Thomas</t>
  </si>
  <si>
    <t>P2 Eduard</t>
  </si>
  <si>
    <t>P3 Lisa</t>
  </si>
  <si>
    <t>P4 Alberto</t>
  </si>
  <si>
    <t>P5 Sophie</t>
  </si>
  <si>
    <t>P6 Meli</t>
  </si>
  <si>
    <t>P7 Jan</t>
  </si>
  <si>
    <t>Kommentare</t>
  </si>
  <si>
    <t>candy Noten, Warm</t>
  </si>
  <si>
    <t>vergoren, Energy, floral</t>
  </si>
  <si>
    <t>Warm, Energy</t>
  </si>
  <si>
    <t>floral, unpleasant, Kochnote</t>
  </si>
  <si>
    <t>warm, unpleasant</t>
  </si>
  <si>
    <t>warm, floral, Energy</t>
  </si>
  <si>
    <t>warm, dairy</t>
  </si>
  <si>
    <t>warm, fusel, dairy</t>
  </si>
  <si>
    <t>candy, warm</t>
  </si>
  <si>
    <t>unplesant, warm</t>
  </si>
  <si>
    <t>Mittelwert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</si>
</sst>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9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1" xfId="0" applyFont="1" applyBorder="1"/>
    <xf numFmtId="0" fontId="1" fillId="2" borderId="1" xfId="0" applyFont="1" applyFill="1" applyBorder="1" applyAlignment="1">
      <alignment horizontal="left"/>
    </xf>
    <xf numFmtId="0" fontId="0" fillId="0" borderId="1" xfId="0" applyBorder="1"/>
    <xf numFmtId="10" fontId="0" fillId="0" borderId="1" xfId="0" applyNumberFormat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6" borderId="1" xfId="0" applyFill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3" fillId="0" borderId="1" xfId="0" applyNumberFormat="1" applyFont="1" applyBorder="1" applyAlignment="1" applyProtection="1">
      <alignment horizontal="left"/>
      <protection locked="0"/>
    </xf>
    <xf numFmtId="0" fontId="0" fillId="6" borderId="1" xfId="0" applyFill="1" applyBorder="1"/>
    <xf numFmtId="4" fontId="0" fillId="0" borderId="1" xfId="0" applyNumberForma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8" borderId="1" xfId="0" applyFont="1" applyFill="1" applyBorder="1"/>
    <xf numFmtId="0" fontId="1" fillId="8" borderId="1" xfId="0" applyFont="1" applyFill="1" applyBorder="1"/>
    <xf numFmtId="0" fontId="2" fillId="9" borderId="1" xfId="0" applyFont="1" applyFill="1" applyBorder="1"/>
    <xf numFmtId="0" fontId="1" fillId="9" borderId="1" xfId="0" applyFont="1" applyFill="1" applyBorder="1"/>
    <xf numFmtId="0" fontId="0" fillId="9" borderId="0" xfId="0" applyFill="1"/>
    <xf numFmtId="0" fontId="4" fillId="9" borderId="1" xfId="0" applyFont="1" applyFill="1" applyBorder="1"/>
    <xf numFmtId="0" fontId="5" fillId="0" borderId="1" xfId="0" applyFont="1" applyBorder="1"/>
    <xf numFmtId="0" fontId="6" fillId="0" borderId="1" xfId="0" applyFont="1" applyBorder="1"/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/>
    <xf numFmtId="0" fontId="1" fillId="8" borderId="4" xfId="0" applyFont="1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  <xf numFmtId="0" fontId="1" fillId="0" borderId="11" xfId="0" applyFont="1" applyBorder="1"/>
    <xf numFmtId="0" fontId="2" fillId="9" borderId="6" xfId="0" applyFont="1" applyFill="1" applyBorder="1"/>
    <xf numFmtId="0" fontId="1" fillId="9" borderId="6" xfId="0" applyFont="1" applyFill="1" applyBorder="1"/>
    <xf numFmtId="0" fontId="4" fillId="9" borderId="6" xfId="0" applyFont="1" applyFill="1" applyBorder="1"/>
    <xf numFmtId="0" fontId="1" fillId="9" borderId="7" xfId="0" applyFont="1" applyFill="1" applyBorder="1"/>
    <xf numFmtId="0" fontId="0" fillId="9" borderId="6" xfId="0" applyFill="1" applyBorder="1"/>
    <xf numFmtId="0" fontId="2" fillId="0" borderId="12" xfId="0" applyFont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0" borderId="5" xfId="0" applyBorder="1"/>
    <xf numFmtId="0" fontId="1" fillId="9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left"/>
    </xf>
    <xf numFmtId="0" fontId="0" fillId="3" borderId="0" xfId="0" applyFill="1"/>
    <xf numFmtId="0" fontId="0" fillId="9" borderId="1" xfId="0" applyFill="1" applyBorder="1" applyAlignment="1">
      <alignment horizontal="left"/>
    </xf>
    <xf numFmtId="0" fontId="0" fillId="13" borderId="0" xfId="0" applyFill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8" borderId="12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0" fillId="6" borderId="6" xfId="0" applyFill="1" applyBorder="1"/>
    <xf numFmtId="0" fontId="0" fillId="0" borderId="6" xfId="0" applyBorder="1"/>
    <xf numFmtId="0" fontId="0" fillId="5" borderId="6" xfId="0" applyFill="1" applyBorder="1" applyAlignment="1">
      <alignment horizontal="left"/>
    </xf>
    <xf numFmtId="0" fontId="0" fillId="0" borderId="6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Border="1"/>
    <xf numFmtId="0" fontId="1" fillId="0" borderId="6" xfId="0" applyFont="1" applyBorder="1"/>
    <xf numFmtId="0" fontId="2" fillId="8" borderId="1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FFCC"/>
      <color rgb="FFFFCCCC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DF0D0-1732-4C95-B20E-AEC5F22380F2}">
  <dimension ref="A1:M14"/>
  <sheetViews>
    <sheetView topLeftCell="B1" workbookViewId="0">
      <selection activeCell="H2" sqref="H2:I14"/>
    </sheetView>
  </sheetViews>
  <sheetFormatPr baseColWidth="10" defaultRowHeight="14.4" x14ac:dyDescent="0.3"/>
  <cols>
    <col min="1" max="1" width="16" customWidth="1"/>
    <col min="3" max="3" width="6.6640625" customWidth="1"/>
    <col min="4" max="4" width="7.21875" customWidth="1"/>
    <col min="5" max="5" width="8.88671875" customWidth="1"/>
    <col min="6" max="6" width="36.21875" customWidth="1"/>
    <col min="7" max="7" width="6.5546875" style="28" customWidth="1"/>
    <col min="8" max="9" width="20.44140625" customWidth="1"/>
    <col min="10" max="10" width="23.5546875" customWidth="1"/>
    <col min="11" max="11" width="24.109375" customWidth="1"/>
    <col min="12" max="12" width="67.77734375" hidden="1" customWidth="1"/>
    <col min="13" max="13" width="19" customWidth="1"/>
  </cols>
  <sheetData>
    <row r="1" spans="1:13" ht="15.6" x14ac:dyDescent="0.3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39" t="s">
        <v>58</v>
      </c>
      <c r="H1" s="40" t="s">
        <v>6</v>
      </c>
      <c r="I1" s="16" t="s">
        <v>7</v>
      </c>
      <c r="J1" s="16" t="s">
        <v>48</v>
      </c>
      <c r="K1" s="16" t="s">
        <v>47</v>
      </c>
      <c r="L1" s="1" t="s">
        <v>41</v>
      </c>
      <c r="M1" s="29" t="s">
        <v>83</v>
      </c>
    </row>
    <row r="2" spans="1:13" x14ac:dyDescent="0.3">
      <c r="A2" s="11" t="s">
        <v>88</v>
      </c>
      <c r="B2" s="3" t="s">
        <v>98</v>
      </c>
      <c r="C2" s="3" t="s">
        <v>9</v>
      </c>
      <c r="D2" s="3" t="s">
        <v>17</v>
      </c>
      <c r="E2" s="3" t="s">
        <v>34</v>
      </c>
      <c r="F2" s="3" t="s">
        <v>99</v>
      </c>
      <c r="G2" s="27" t="b">
        <v>1</v>
      </c>
      <c r="H2" s="8" t="s">
        <v>12</v>
      </c>
      <c r="I2" s="3"/>
      <c r="J2" s="41" t="s">
        <v>35</v>
      </c>
      <c r="K2" s="41" t="s">
        <v>35</v>
      </c>
      <c r="L2" s="38"/>
    </row>
    <row r="3" spans="1:13" x14ac:dyDescent="0.3">
      <c r="A3" s="11" t="s">
        <v>94</v>
      </c>
      <c r="B3" s="3" t="s">
        <v>100</v>
      </c>
      <c r="C3" s="3" t="s">
        <v>9</v>
      </c>
      <c r="D3" s="3" t="s">
        <v>10</v>
      </c>
      <c r="E3" s="3" t="s">
        <v>11</v>
      </c>
      <c r="F3" s="3" t="s">
        <v>101</v>
      </c>
      <c r="G3" s="27" t="b">
        <v>1</v>
      </c>
      <c r="H3" s="37" t="s">
        <v>126</v>
      </c>
      <c r="I3" s="7" t="s">
        <v>29</v>
      </c>
      <c r="J3" t="s">
        <v>35</v>
      </c>
      <c r="K3" t="s">
        <v>13</v>
      </c>
      <c r="L3" s="38"/>
    </row>
    <row r="4" spans="1:13" x14ac:dyDescent="0.3">
      <c r="A4" s="11" t="s">
        <v>89</v>
      </c>
      <c r="B4" s="3" t="s">
        <v>102</v>
      </c>
      <c r="C4" s="3" t="s">
        <v>9</v>
      </c>
      <c r="D4" s="3" t="s">
        <v>103</v>
      </c>
      <c r="E4" s="3" t="s">
        <v>16</v>
      </c>
      <c r="F4" s="3" t="s">
        <v>104</v>
      </c>
      <c r="G4" s="27" t="b">
        <v>1</v>
      </c>
      <c r="H4" s="6" t="s">
        <v>127</v>
      </c>
      <c r="I4" s="3"/>
      <c r="J4" t="s">
        <v>35</v>
      </c>
      <c r="K4" t="s">
        <v>38</v>
      </c>
      <c r="L4" s="38"/>
    </row>
    <row r="5" spans="1:13" x14ac:dyDescent="0.3">
      <c r="A5" s="11" t="s">
        <v>90</v>
      </c>
      <c r="B5" s="3" t="s">
        <v>105</v>
      </c>
      <c r="C5" s="3" t="s">
        <v>9</v>
      </c>
      <c r="D5" s="3" t="s">
        <v>23</v>
      </c>
      <c r="E5" s="3" t="s">
        <v>11</v>
      </c>
      <c r="F5" s="3" t="s">
        <v>106</v>
      </c>
      <c r="G5" s="27" t="b">
        <v>1</v>
      </c>
      <c r="H5" s="6" t="s">
        <v>27</v>
      </c>
      <c r="I5" s="3"/>
      <c r="J5" t="s">
        <v>35</v>
      </c>
      <c r="K5" t="s">
        <v>28</v>
      </c>
      <c r="L5" s="38"/>
    </row>
    <row r="6" spans="1:13" x14ac:dyDescent="0.3">
      <c r="A6" s="11" t="s">
        <v>96</v>
      </c>
      <c r="B6" s="3" t="s">
        <v>107</v>
      </c>
      <c r="C6" s="3" t="s">
        <v>14</v>
      </c>
      <c r="D6" s="3" t="s">
        <v>17</v>
      </c>
      <c r="E6" s="3" t="s">
        <v>16</v>
      </c>
      <c r="F6" s="3" t="s">
        <v>108</v>
      </c>
      <c r="G6" s="27" t="b">
        <v>1</v>
      </c>
      <c r="H6" s="8" t="s">
        <v>46</v>
      </c>
      <c r="I6" s="7" t="s">
        <v>128</v>
      </c>
      <c r="J6" t="s">
        <v>28</v>
      </c>
      <c r="K6" t="s">
        <v>35</v>
      </c>
      <c r="L6" s="38"/>
    </row>
    <row r="7" spans="1:13" x14ac:dyDescent="0.3">
      <c r="A7" s="11" t="s">
        <v>97</v>
      </c>
      <c r="B7" s="3" t="s">
        <v>109</v>
      </c>
      <c r="C7" s="3" t="s">
        <v>14</v>
      </c>
      <c r="D7" s="3" t="s">
        <v>110</v>
      </c>
      <c r="E7" s="3" t="s">
        <v>16</v>
      </c>
      <c r="F7" s="3" t="s">
        <v>111</v>
      </c>
      <c r="G7" s="27" t="b">
        <v>1</v>
      </c>
      <c r="H7" s="6" t="s">
        <v>129</v>
      </c>
      <c r="I7" s="3"/>
      <c r="J7" t="s">
        <v>28</v>
      </c>
      <c r="K7" t="s">
        <v>35</v>
      </c>
      <c r="L7" s="38"/>
    </row>
    <row r="8" spans="1:13" x14ac:dyDescent="0.3">
      <c r="A8" s="11" t="s">
        <v>95</v>
      </c>
      <c r="B8" s="3" t="s">
        <v>112</v>
      </c>
      <c r="C8" s="3" t="s">
        <v>9</v>
      </c>
      <c r="D8" s="3" t="s">
        <v>113</v>
      </c>
      <c r="E8" s="3" t="s">
        <v>16</v>
      </c>
      <c r="F8" s="3" t="s">
        <v>114</v>
      </c>
      <c r="G8" s="27" t="b">
        <v>1</v>
      </c>
      <c r="H8" s="5"/>
      <c r="I8" s="3"/>
      <c r="J8" t="s">
        <v>35</v>
      </c>
      <c r="K8" t="s">
        <v>13</v>
      </c>
      <c r="L8" s="38"/>
    </row>
    <row r="9" spans="1:13" x14ac:dyDescent="0.3">
      <c r="A9" s="11" t="s">
        <v>91</v>
      </c>
      <c r="B9" s="3" t="s">
        <v>115</v>
      </c>
      <c r="C9" s="3" t="s">
        <v>9</v>
      </c>
      <c r="D9" s="3" t="s">
        <v>82</v>
      </c>
      <c r="E9" s="3" t="s">
        <v>16</v>
      </c>
      <c r="F9" s="3" t="s">
        <v>116</v>
      </c>
      <c r="G9" s="27" t="b">
        <v>1</v>
      </c>
      <c r="H9" s="5"/>
      <c r="I9" s="3"/>
      <c r="J9" t="s">
        <v>35</v>
      </c>
      <c r="K9" t="s">
        <v>38</v>
      </c>
      <c r="L9" s="38"/>
    </row>
    <row r="10" spans="1:13" x14ac:dyDescent="0.3">
      <c r="A10" s="11" t="s">
        <v>92</v>
      </c>
      <c r="B10" s="3" t="s">
        <v>117</v>
      </c>
      <c r="C10" s="3" t="s">
        <v>9</v>
      </c>
      <c r="D10" s="3" t="s">
        <v>33</v>
      </c>
      <c r="E10" s="3" t="s">
        <v>11</v>
      </c>
      <c r="F10" s="3" t="s">
        <v>118</v>
      </c>
      <c r="G10" s="27" t="b">
        <v>1</v>
      </c>
      <c r="H10" s="5"/>
      <c r="I10" s="3"/>
      <c r="J10" s="41" t="s">
        <v>35</v>
      </c>
      <c r="K10" s="41" t="s">
        <v>35</v>
      </c>
    </row>
    <row r="11" spans="1:13" x14ac:dyDescent="0.3">
      <c r="A11" s="11" t="s">
        <v>80</v>
      </c>
      <c r="B11" s="3" t="s">
        <v>81</v>
      </c>
      <c r="C11" s="3" t="s">
        <v>9</v>
      </c>
      <c r="D11" s="3" t="s">
        <v>15</v>
      </c>
      <c r="E11" s="3" t="s">
        <v>16</v>
      </c>
      <c r="F11" s="3" t="s">
        <v>119</v>
      </c>
      <c r="G11" s="27" t="b">
        <v>1</v>
      </c>
      <c r="H11" s="8" t="s">
        <v>30</v>
      </c>
      <c r="I11" s="37" t="s">
        <v>30</v>
      </c>
      <c r="J11" t="s">
        <v>35</v>
      </c>
      <c r="K11" t="s">
        <v>18</v>
      </c>
    </row>
    <row r="12" spans="1:13" x14ac:dyDescent="0.3">
      <c r="A12" s="11" t="s">
        <v>86</v>
      </c>
      <c r="B12" s="3" t="s">
        <v>120</v>
      </c>
      <c r="C12" s="3" t="s">
        <v>9</v>
      </c>
      <c r="D12" s="3" t="s">
        <v>10</v>
      </c>
      <c r="E12" s="3" t="s">
        <v>11</v>
      </c>
      <c r="F12" s="3" t="s">
        <v>121</v>
      </c>
      <c r="G12" s="27" t="b">
        <v>1</v>
      </c>
      <c r="H12" s="6" t="s">
        <v>129</v>
      </c>
      <c r="I12" s="10"/>
      <c r="J12" t="s">
        <v>35</v>
      </c>
      <c r="K12" t="s">
        <v>38</v>
      </c>
      <c r="L12" t="s">
        <v>43</v>
      </c>
    </row>
    <row r="13" spans="1:13" x14ac:dyDescent="0.3">
      <c r="A13" s="11" t="s">
        <v>93</v>
      </c>
      <c r="B13" s="3" t="s">
        <v>122</v>
      </c>
      <c r="C13" s="3" t="s">
        <v>9</v>
      </c>
      <c r="D13" s="3" t="s">
        <v>25</v>
      </c>
      <c r="E13" s="3" t="s">
        <v>16</v>
      </c>
      <c r="F13" s="3" t="s">
        <v>123</v>
      </c>
      <c r="G13" s="27" t="b">
        <v>1</v>
      </c>
      <c r="H13" s="8" t="s">
        <v>30</v>
      </c>
      <c r="I13" s="37" t="s">
        <v>30</v>
      </c>
      <c r="J13" s="41" t="s">
        <v>35</v>
      </c>
      <c r="K13" s="41" t="s">
        <v>35</v>
      </c>
    </row>
    <row r="14" spans="1:13" x14ac:dyDescent="0.3">
      <c r="A14" s="11" t="s">
        <v>87</v>
      </c>
      <c r="B14" s="3" t="s">
        <v>124</v>
      </c>
      <c r="C14" s="3" t="s">
        <v>14</v>
      </c>
      <c r="D14" s="3" t="s">
        <v>17</v>
      </c>
      <c r="E14" s="3" t="s">
        <v>16</v>
      </c>
      <c r="F14" s="3" t="s">
        <v>125</v>
      </c>
      <c r="G14" s="27" t="b">
        <v>1</v>
      </c>
      <c r="H14" s="42" t="s">
        <v>130</v>
      </c>
      <c r="I14" s="3"/>
      <c r="J14" t="s">
        <v>35</v>
      </c>
      <c r="K14" t="s">
        <v>13</v>
      </c>
    </row>
  </sheetData>
  <sortState xmlns:xlrd2="http://schemas.microsoft.com/office/spreadsheetml/2017/richdata2" ref="A2:M14">
    <sortCondition ref="A2:A14"/>
  </sortState>
  <pageMargins left="0.25" right="0.17" top="0.78740157499999996" bottom="0.78740157499999996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E6616-971F-4A67-B52F-790360D3674C}">
  <dimension ref="A1:H62"/>
  <sheetViews>
    <sheetView workbookViewId="0">
      <selection activeCell="C3" sqref="C3:D15"/>
    </sheetView>
  </sheetViews>
  <sheetFormatPr baseColWidth="10" defaultRowHeight="14.4" x14ac:dyDescent="0.3"/>
  <cols>
    <col min="1" max="1" width="10.109375" customWidth="1"/>
    <col min="2" max="2" width="5.88671875" customWidth="1"/>
    <col min="3" max="3" width="19.33203125" customWidth="1"/>
    <col min="4" max="4" width="13.44140625" customWidth="1"/>
    <col min="5" max="5" width="27.33203125" customWidth="1"/>
    <col min="6" max="6" width="16" customWidth="1"/>
    <col min="7" max="7" width="15.109375" customWidth="1"/>
    <col min="8" max="8" width="36.5546875" customWidth="1"/>
    <col min="14" max="14" width="18" customWidth="1"/>
  </cols>
  <sheetData>
    <row r="1" spans="1:8" ht="15.6" x14ac:dyDescent="0.3">
      <c r="A1" s="13" t="s">
        <v>73</v>
      </c>
      <c r="B1" s="14" t="s">
        <v>131</v>
      </c>
      <c r="C1" s="50" t="s">
        <v>55</v>
      </c>
      <c r="D1" s="51"/>
      <c r="E1" s="14" t="s">
        <v>8</v>
      </c>
      <c r="F1" s="44" t="s">
        <v>49</v>
      </c>
      <c r="G1" s="45"/>
      <c r="H1" s="14" t="s">
        <v>50</v>
      </c>
    </row>
    <row r="2" spans="1:8" s="17" customFormat="1" ht="15.6" x14ac:dyDescent="0.3">
      <c r="A2" s="15"/>
      <c r="B2" s="16"/>
      <c r="C2" s="18" t="s">
        <v>53</v>
      </c>
      <c r="D2" s="18" t="s">
        <v>54</v>
      </c>
      <c r="E2" s="16"/>
      <c r="F2" s="16" t="s">
        <v>51</v>
      </c>
      <c r="G2" s="16" t="s">
        <v>52</v>
      </c>
      <c r="H2" s="16"/>
    </row>
    <row r="3" spans="1:8" x14ac:dyDescent="0.3">
      <c r="A3" s="11" t="s">
        <v>88</v>
      </c>
      <c r="B3" s="3">
        <v>1</v>
      </c>
      <c r="C3" s="3" t="s">
        <v>35</v>
      </c>
      <c r="D3" s="3" t="s">
        <v>35</v>
      </c>
      <c r="E3" s="4"/>
      <c r="F3" s="12" t="b">
        <v>0</v>
      </c>
      <c r="G3" s="12" t="b">
        <v>0</v>
      </c>
      <c r="H3" s="3"/>
    </row>
    <row r="4" spans="1:8" x14ac:dyDescent="0.3">
      <c r="A4" s="11" t="s">
        <v>94</v>
      </c>
      <c r="B4" s="3">
        <v>1</v>
      </c>
      <c r="C4" s="3" t="s">
        <v>35</v>
      </c>
      <c r="D4" s="3" t="s">
        <v>13</v>
      </c>
      <c r="E4" s="3"/>
      <c r="F4" s="21" t="b">
        <v>0</v>
      </c>
      <c r="G4" s="21" t="b">
        <v>0</v>
      </c>
      <c r="H4" s="3"/>
    </row>
    <row r="5" spans="1:8" x14ac:dyDescent="0.3">
      <c r="A5" s="11" t="s">
        <v>89</v>
      </c>
      <c r="B5" s="3">
        <v>1</v>
      </c>
      <c r="C5" s="3" t="s">
        <v>35</v>
      </c>
      <c r="D5" s="3" t="s">
        <v>38</v>
      </c>
      <c r="E5" s="3"/>
      <c r="F5" s="21" t="b">
        <v>0</v>
      </c>
      <c r="G5" s="21" t="b">
        <v>0</v>
      </c>
      <c r="H5" s="3"/>
    </row>
    <row r="6" spans="1:8" x14ac:dyDescent="0.3">
      <c r="A6" s="11" t="s">
        <v>90</v>
      </c>
      <c r="B6" s="3">
        <v>1</v>
      </c>
      <c r="C6" s="3" t="s">
        <v>35</v>
      </c>
      <c r="D6" s="3" t="s">
        <v>28</v>
      </c>
      <c r="E6" s="3"/>
      <c r="F6" s="21" t="b">
        <v>0</v>
      </c>
      <c r="G6" s="21" t="b">
        <v>0</v>
      </c>
      <c r="H6" s="3"/>
    </row>
    <row r="7" spans="1:8" x14ac:dyDescent="0.3">
      <c r="A7" s="11" t="s">
        <v>96</v>
      </c>
      <c r="B7" s="3">
        <v>1</v>
      </c>
      <c r="C7" s="3" t="s">
        <v>28</v>
      </c>
      <c r="D7" s="3" t="s">
        <v>35</v>
      </c>
      <c r="E7" s="3"/>
      <c r="F7" s="21" t="b">
        <v>0</v>
      </c>
      <c r="G7" s="21" t="b">
        <v>0</v>
      </c>
      <c r="H7" s="3"/>
    </row>
    <row r="8" spans="1:8" x14ac:dyDescent="0.3">
      <c r="A8" s="11" t="s">
        <v>97</v>
      </c>
      <c r="B8" s="3">
        <v>1</v>
      </c>
      <c r="C8" s="3" t="s">
        <v>28</v>
      </c>
      <c r="D8" s="3" t="s">
        <v>35</v>
      </c>
      <c r="E8" s="3"/>
      <c r="F8" s="21" t="b">
        <v>0</v>
      </c>
      <c r="G8" s="21" t="b">
        <v>0</v>
      </c>
      <c r="H8" s="3"/>
    </row>
    <row r="9" spans="1:8" x14ac:dyDescent="0.3">
      <c r="A9" s="11" t="s">
        <v>95</v>
      </c>
      <c r="B9" s="3">
        <v>1</v>
      </c>
      <c r="C9" s="3" t="s">
        <v>35</v>
      </c>
      <c r="D9" s="3" t="s">
        <v>13</v>
      </c>
      <c r="E9" s="3"/>
      <c r="F9" s="21" t="b">
        <v>0</v>
      </c>
      <c r="G9" s="21" t="b">
        <v>0</v>
      </c>
      <c r="H9" s="3"/>
    </row>
    <row r="10" spans="1:8" x14ac:dyDescent="0.3">
      <c r="A10" s="11" t="s">
        <v>91</v>
      </c>
      <c r="B10" s="3">
        <v>2</v>
      </c>
      <c r="C10" s="3" t="s">
        <v>35</v>
      </c>
      <c r="D10" s="3" t="s">
        <v>38</v>
      </c>
      <c r="E10" s="3"/>
      <c r="F10" s="21" t="b">
        <v>0</v>
      </c>
      <c r="G10" s="21" t="b">
        <v>0</v>
      </c>
      <c r="H10" s="3"/>
    </row>
    <row r="11" spans="1:8" x14ac:dyDescent="0.3">
      <c r="A11" s="11" t="s">
        <v>92</v>
      </c>
      <c r="B11" s="3">
        <v>2</v>
      </c>
      <c r="C11" s="3" t="s">
        <v>35</v>
      </c>
      <c r="D11" s="3" t="s">
        <v>35</v>
      </c>
      <c r="E11" s="3"/>
      <c r="F11" s="21" t="b">
        <v>0</v>
      </c>
      <c r="G11" s="21" t="b">
        <v>0</v>
      </c>
      <c r="H11" s="3"/>
    </row>
    <row r="12" spans="1:8" x14ac:dyDescent="0.3">
      <c r="A12" s="11" t="s">
        <v>80</v>
      </c>
      <c r="B12" s="3">
        <v>2</v>
      </c>
      <c r="C12" s="3" t="s">
        <v>35</v>
      </c>
      <c r="D12" s="3" t="s">
        <v>18</v>
      </c>
      <c r="E12" s="3"/>
      <c r="F12" s="21" t="b">
        <v>0</v>
      </c>
      <c r="G12" s="21" t="b">
        <v>0</v>
      </c>
      <c r="H12" s="3"/>
    </row>
    <row r="13" spans="1:8" x14ac:dyDescent="0.3">
      <c r="A13" s="11" t="s">
        <v>86</v>
      </c>
      <c r="B13" s="3">
        <v>2</v>
      </c>
      <c r="C13" s="3" t="s">
        <v>35</v>
      </c>
      <c r="D13" s="3" t="s">
        <v>38</v>
      </c>
      <c r="E13" s="3"/>
      <c r="F13" s="21" t="b">
        <v>0</v>
      </c>
      <c r="G13" s="21" t="b">
        <v>0</v>
      </c>
      <c r="H13" s="3"/>
    </row>
    <row r="14" spans="1:8" x14ac:dyDescent="0.3">
      <c r="A14" s="11" t="s">
        <v>93</v>
      </c>
      <c r="B14" s="3">
        <v>2</v>
      </c>
      <c r="C14" s="3" t="s">
        <v>35</v>
      </c>
      <c r="D14" s="3" t="s">
        <v>35</v>
      </c>
      <c r="E14" s="3"/>
      <c r="F14" s="21" t="b">
        <v>0</v>
      </c>
      <c r="G14" s="21" t="b">
        <v>0</v>
      </c>
      <c r="H14" s="3"/>
    </row>
    <row r="15" spans="1:8" x14ac:dyDescent="0.3">
      <c r="A15" s="11" t="s">
        <v>87</v>
      </c>
      <c r="B15" s="3">
        <v>2</v>
      </c>
      <c r="C15" s="3" t="s">
        <v>35</v>
      </c>
      <c r="D15" s="3" t="s">
        <v>13</v>
      </c>
      <c r="E15" s="3"/>
      <c r="F15" s="21" t="b">
        <v>0</v>
      </c>
      <c r="G15" s="21" t="b">
        <v>0</v>
      </c>
      <c r="H15" s="3"/>
    </row>
    <row r="35" spans="4:5" ht="33.6" x14ac:dyDescent="0.65">
      <c r="D35" s="19" t="s">
        <v>56</v>
      </c>
      <c r="E35" s="20" t="s">
        <v>13</v>
      </c>
    </row>
    <row r="36" spans="4:5" ht="33.6" x14ac:dyDescent="0.65">
      <c r="D36" s="19" t="s">
        <v>57</v>
      </c>
      <c r="E36" s="20" t="s">
        <v>21</v>
      </c>
    </row>
    <row r="37" spans="4:5" ht="33.6" x14ac:dyDescent="0.65">
      <c r="D37" s="19" t="s">
        <v>59</v>
      </c>
      <c r="E37" s="20" t="s">
        <v>18</v>
      </c>
    </row>
    <row r="38" spans="4:5" ht="33.6" x14ac:dyDescent="0.65">
      <c r="D38" s="19" t="s">
        <v>19</v>
      </c>
      <c r="E38" s="20" t="s">
        <v>35</v>
      </c>
    </row>
    <row r="39" spans="4:5" ht="33.6" x14ac:dyDescent="0.65">
      <c r="D39" s="19" t="s">
        <v>20</v>
      </c>
      <c r="E39" s="20" t="s">
        <v>35</v>
      </c>
    </row>
    <row r="40" spans="4:5" ht="33.6" x14ac:dyDescent="0.65">
      <c r="D40" s="19" t="s">
        <v>22</v>
      </c>
      <c r="E40" s="20" t="s">
        <v>18</v>
      </c>
    </row>
    <row r="41" spans="4:5" ht="33.6" x14ac:dyDescent="0.65">
      <c r="D41" s="19" t="s">
        <v>24</v>
      </c>
      <c r="E41" s="20" t="s">
        <v>45</v>
      </c>
    </row>
    <row r="42" spans="4:5" ht="31.2" x14ac:dyDescent="0.6">
      <c r="D42" s="19" t="s">
        <v>26</v>
      </c>
      <c r="E42" s="19" t="s">
        <v>40</v>
      </c>
    </row>
    <row r="43" spans="4:5" ht="31.2" x14ac:dyDescent="0.6">
      <c r="D43" s="19" t="s">
        <v>62</v>
      </c>
      <c r="E43" s="19" t="s">
        <v>67</v>
      </c>
    </row>
    <row r="44" spans="4:5" ht="31.2" x14ac:dyDescent="0.6">
      <c r="D44" s="19" t="s">
        <v>31</v>
      </c>
      <c r="E44" s="19" t="s">
        <v>68</v>
      </c>
    </row>
    <row r="45" spans="4:5" ht="31.2" x14ac:dyDescent="0.6">
      <c r="D45" s="19" t="s">
        <v>63</v>
      </c>
      <c r="E45" s="19" t="s">
        <v>69</v>
      </c>
    </row>
    <row r="46" spans="4:5" ht="31.2" x14ac:dyDescent="0.6">
      <c r="D46" s="19" t="s">
        <v>32</v>
      </c>
      <c r="E46" s="19" t="s">
        <v>44</v>
      </c>
    </row>
    <row r="47" spans="4:5" ht="31.2" x14ac:dyDescent="0.6">
      <c r="D47" s="19" t="s">
        <v>64</v>
      </c>
      <c r="E47" s="19" t="s">
        <v>70</v>
      </c>
    </row>
    <row r="48" spans="4:5" ht="31.2" x14ac:dyDescent="0.6">
      <c r="D48" s="19" t="s">
        <v>61</v>
      </c>
      <c r="E48" s="19" t="s">
        <v>71</v>
      </c>
    </row>
    <row r="49" spans="4:5" ht="31.2" x14ac:dyDescent="0.6">
      <c r="D49" s="19" t="s">
        <v>36</v>
      </c>
      <c r="E49" s="19" t="s">
        <v>72</v>
      </c>
    </row>
    <row r="50" spans="4:5" ht="31.2" x14ac:dyDescent="0.6">
      <c r="D50" s="19" t="s">
        <v>60</v>
      </c>
    </row>
    <row r="51" spans="4:5" ht="31.2" x14ac:dyDescent="0.6">
      <c r="D51" s="19" t="s">
        <v>37</v>
      </c>
    </row>
    <row r="52" spans="4:5" ht="31.2" x14ac:dyDescent="0.6">
      <c r="D52" s="19" t="s">
        <v>39</v>
      </c>
    </row>
    <row r="53" spans="4:5" ht="31.2" x14ac:dyDescent="0.6">
      <c r="D53" s="19" t="s">
        <v>65</v>
      </c>
    </row>
    <row r="54" spans="4:5" ht="31.2" x14ac:dyDescent="0.6">
      <c r="D54" s="19" t="s">
        <v>66</v>
      </c>
    </row>
    <row r="55" spans="4:5" ht="31.2" x14ac:dyDescent="0.6">
      <c r="D55" s="19"/>
    </row>
    <row r="56" spans="4:5" ht="31.2" x14ac:dyDescent="0.6">
      <c r="D56" s="19"/>
    </row>
    <row r="57" spans="4:5" ht="31.2" x14ac:dyDescent="0.6">
      <c r="D57" s="19"/>
    </row>
    <row r="58" spans="4:5" ht="31.2" x14ac:dyDescent="0.6">
      <c r="D58" s="19"/>
    </row>
    <row r="59" spans="4:5" ht="31.2" x14ac:dyDescent="0.6">
      <c r="D59" s="19"/>
    </row>
    <row r="60" spans="4:5" ht="31.2" x14ac:dyDescent="0.6">
      <c r="D60" s="19"/>
    </row>
    <row r="61" spans="4:5" ht="31.2" x14ac:dyDescent="0.6">
      <c r="D61" s="19"/>
    </row>
    <row r="62" spans="4:5" ht="31.2" x14ac:dyDescent="0.6">
      <c r="D62" s="19"/>
    </row>
  </sheetData>
  <mergeCells count="2">
    <mergeCell ref="F1:G1"/>
    <mergeCell ref="C1:D1"/>
  </mergeCells>
  <pageMargins left="0.22" right="0.17" top="0.78740157499999996" bottom="0.78740157499999996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4A4B8-29D8-40D1-9E66-31A138009E7D}">
  <dimension ref="A1:BA63"/>
  <sheetViews>
    <sheetView workbookViewId="0">
      <pane xSplit="2" topLeftCell="C1" activePane="topRight" state="frozen"/>
      <selection pane="topRight" activeCell="A16" sqref="A16:XFD16"/>
    </sheetView>
  </sheetViews>
  <sheetFormatPr baseColWidth="10" defaultRowHeight="14.4" x14ac:dyDescent="0.3"/>
  <cols>
    <col min="1" max="1" width="10.6640625" customWidth="1"/>
    <col min="2" max="2" width="6.88671875" hidden="1" customWidth="1"/>
    <col min="3" max="3" width="19.77734375" customWidth="1"/>
    <col min="4" max="4" width="16.6640625" customWidth="1"/>
    <col min="5" max="5" width="17.88671875" customWidth="1"/>
    <col min="6" max="6" width="16" customWidth="1"/>
    <col min="7" max="7" width="15.109375" customWidth="1"/>
    <col min="8" max="8" width="35.5546875" customWidth="1"/>
    <col min="9" max="9" width="18.6640625" customWidth="1"/>
    <col min="11" max="11" width="15.5546875" customWidth="1"/>
    <col min="12" max="12" width="15.44140625" customWidth="1"/>
    <col min="13" max="14" width="18" customWidth="1"/>
    <col min="16" max="17" width="23.109375" customWidth="1"/>
    <col min="18" max="18" width="14.6640625" customWidth="1"/>
    <col min="19" max="19" width="17.44140625" customWidth="1"/>
    <col min="20" max="24" width="23.109375" customWidth="1"/>
    <col min="25" max="25" width="28" customWidth="1"/>
    <col min="27" max="27" width="14.33203125" customWidth="1"/>
    <col min="28" max="29" width="36.77734375" customWidth="1"/>
    <col min="30" max="30" width="14.6640625" customWidth="1"/>
    <col min="31" max="31" width="16.33203125" customWidth="1"/>
    <col min="32" max="32" width="36.77734375" customWidth="1"/>
    <col min="33" max="33" width="16.6640625" customWidth="1"/>
  </cols>
  <sheetData>
    <row r="1" spans="1:53" x14ac:dyDescent="0.3">
      <c r="E1" s="52" t="s">
        <v>172</v>
      </c>
      <c r="F1" s="52"/>
      <c r="G1" s="52"/>
      <c r="H1" s="52"/>
      <c r="I1" s="53" t="s">
        <v>173</v>
      </c>
      <c r="J1" s="53"/>
      <c r="K1" s="53"/>
      <c r="L1" s="53"/>
      <c r="M1" s="47" t="s">
        <v>174</v>
      </c>
      <c r="N1" s="47"/>
      <c r="O1" s="47"/>
      <c r="P1" s="47"/>
      <c r="Q1" s="48" t="s">
        <v>175</v>
      </c>
      <c r="R1" s="48"/>
      <c r="S1" s="48"/>
      <c r="T1" s="48"/>
      <c r="U1" s="49" t="s">
        <v>176</v>
      </c>
      <c r="V1" s="49"/>
      <c r="W1" s="49"/>
      <c r="X1" s="49"/>
      <c r="Y1" s="46" t="s">
        <v>177</v>
      </c>
      <c r="Z1" s="46"/>
      <c r="AA1" s="46"/>
      <c r="AB1" s="46"/>
      <c r="AC1" s="43" t="s">
        <v>178</v>
      </c>
      <c r="AD1" s="43"/>
      <c r="AE1" s="43"/>
      <c r="AF1" s="43"/>
      <c r="AG1" s="3" t="s">
        <v>74</v>
      </c>
      <c r="AH1" s="3">
        <v>4</v>
      </c>
      <c r="AI1" s="3"/>
    </row>
    <row r="2" spans="1:53" ht="15.6" x14ac:dyDescent="0.3">
      <c r="A2" s="13" t="s">
        <v>73</v>
      </c>
      <c r="B2" s="14" t="s">
        <v>3</v>
      </c>
      <c r="C2" s="50" t="s">
        <v>55</v>
      </c>
      <c r="D2" s="51"/>
      <c r="E2" s="14" t="s">
        <v>8</v>
      </c>
      <c r="F2" s="44" t="s">
        <v>49</v>
      </c>
      <c r="G2" s="45"/>
      <c r="H2" s="14" t="s">
        <v>50</v>
      </c>
      <c r="I2" s="14" t="s">
        <v>8</v>
      </c>
      <c r="J2" s="44" t="s">
        <v>49</v>
      </c>
      <c r="K2" s="45"/>
      <c r="L2" s="14" t="s">
        <v>50</v>
      </c>
      <c r="M2" s="14" t="s">
        <v>8</v>
      </c>
      <c r="N2" s="44" t="s">
        <v>49</v>
      </c>
      <c r="O2" s="45"/>
      <c r="P2" s="14" t="s">
        <v>50</v>
      </c>
      <c r="Q2" s="14" t="s">
        <v>8</v>
      </c>
      <c r="R2" s="44" t="s">
        <v>49</v>
      </c>
      <c r="S2" s="45"/>
      <c r="T2" s="23" t="s">
        <v>50</v>
      </c>
      <c r="U2" s="14" t="s">
        <v>8</v>
      </c>
      <c r="V2" s="44" t="s">
        <v>49</v>
      </c>
      <c r="W2" s="45"/>
      <c r="X2" s="23" t="s">
        <v>50</v>
      </c>
      <c r="Y2" s="14" t="s">
        <v>8</v>
      </c>
      <c r="Z2" s="44" t="s">
        <v>49</v>
      </c>
      <c r="AA2" s="45"/>
      <c r="AB2" s="23" t="s">
        <v>50</v>
      </c>
      <c r="AC2" s="14" t="s">
        <v>8</v>
      </c>
      <c r="AD2" s="44" t="s">
        <v>49</v>
      </c>
      <c r="AE2" s="45"/>
      <c r="AF2" s="23" t="s">
        <v>50</v>
      </c>
      <c r="AG2" s="3"/>
      <c r="AH2" s="3"/>
      <c r="AI2" s="3"/>
    </row>
    <row r="3" spans="1:53" s="17" customFormat="1" ht="15.6" x14ac:dyDescent="0.3">
      <c r="A3" s="30"/>
      <c r="B3" s="31"/>
      <c r="C3" s="32" t="s">
        <v>53</v>
      </c>
      <c r="D3" s="32" t="s">
        <v>54</v>
      </c>
      <c r="E3" s="31"/>
      <c r="F3" s="31" t="s">
        <v>51</v>
      </c>
      <c r="G3" s="31" t="s">
        <v>52</v>
      </c>
      <c r="H3" s="31"/>
      <c r="I3" s="31"/>
      <c r="J3" s="31" t="s">
        <v>51</v>
      </c>
      <c r="K3" s="31" t="s">
        <v>52</v>
      </c>
      <c r="L3" s="31"/>
      <c r="M3" s="31"/>
      <c r="N3" s="31" t="s">
        <v>51</v>
      </c>
      <c r="O3" s="31" t="s">
        <v>52</v>
      </c>
      <c r="P3" s="31"/>
      <c r="Q3" s="31"/>
      <c r="R3" s="31" t="s">
        <v>51</v>
      </c>
      <c r="S3" s="31" t="s">
        <v>52</v>
      </c>
      <c r="T3" s="33"/>
      <c r="U3" s="31"/>
      <c r="V3" s="31" t="s">
        <v>51</v>
      </c>
      <c r="W3" s="31" t="s">
        <v>52</v>
      </c>
      <c r="X3" s="33"/>
      <c r="Y3" s="31"/>
      <c r="Z3" s="31" t="s">
        <v>51</v>
      </c>
      <c r="AA3" s="31" t="s">
        <v>52</v>
      </c>
      <c r="AB3" s="33"/>
      <c r="AC3" s="31"/>
      <c r="AD3" s="31" t="s">
        <v>51</v>
      </c>
      <c r="AE3" s="31" t="s">
        <v>52</v>
      </c>
      <c r="AF3" s="33"/>
      <c r="AG3" s="34" t="s">
        <v>75</v>
      </c>
      <c r="AH3" s="34" t="s">
        <v>76</v>
      </c>
      <c r="AI3" s="34"/>
    </row>
    <row r="4" spans="1:53" x14ac:dyDescent="0.3">
      <c r="A4" s="11" t="s">
        <v>88</v>
      </c>
      <c r="B4" s="3"/>
      <c r="C4" s="3" t="s">
        <v>35</v>
      </c>
      <c r="D4" s="3" t="s">
        <v>35</v>
      </c>
      <c r="E4" s="4"/>
      <c r="F4" s="12" t="b">
        <v>1</v>
      </c>
      <c r="G4" s="12" t="b">
        <v>0</v>
      </c>
      <c r="H4" s="3"/>
      <c r="I4" s="4"/>
      <c r="J4" s="12" t="b">
        <v>1</v>
      </c>
      <c r="K4" s="12" t="b">
        <v>0</v>
      </c>
      <c r="L4" s="3"/>
      <c r="M4" s="4"/>
      <c r="N4" s="12" t="b">
        <v>0</v>
      </c>
      <c r="O4" s="12" t="b">
        <v>0</v>
      </c>
      <c r="P4" s="3"/>
      <c r="Q4" s="4"/>
      <c r="R4" s="12" t="b">
        <v>1</v>
      </c>
      <c r="S4" s="12" t="b">
        <v>0</v>
      </c>
      <c r="T4" s="3"/>
      <c r="U4" s="3" t="s">
        <v>85</v>
      </c>
      <c r="V4" s="12" t="b">
        <v>1</v>
      </c>
      <c r="W4" s="12" t="b">
        <v>0</v>
      </c>
      <c r="X4" s="3"/>
      <c r="Y4" s="4" t="s">
        <v>152</v>
      </c>
      <c r="Z4" s="12" t="b">
        <v>1</v>
      </c>
      <c r="AA4" s="12" t="b">
        <v>0</v>
      </c>
      <c r="AB4" s="3"/>
      <c r="AC4" s="3"/>
      <c r="AD4" s="12" t="b">
        <v>0</v>
      </c>
      <c r="AE4" s="12" t="b">
        <v>1</v>
      </c>
      <c r="AF4" s="3" t="s">
        <v>161</v>
      </c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</row>
    <row r="5" spans="1:53" x14ac:dyDescent="0.3">
      <c r="A5" s="11" t="s">
        <v>94</v>
      </c>
      <c r="B5" s="3"/>
      <c r="C5" s="3" t="s">
        <v>35</v>
      </c>
      <c r="D5" s="3" t="s">
        <v>13</v>
      </c>
      <c r="E5" s="3"/>
      <c r="F5" s="21" t="b">
        <v>1</v>
      </c>
      <c r="G5" s="21" t="b">
        <v>0</v>
      </c>
      <c r="H5" s="3"/>
      <c r="I5" s="3"/>
      <c r="J5" s="21" t="b">
        <v>0</v>
      </c>
      <c r="K5" s="21" t="b">
        <v>1</v>
      </c>
      <c r="L5" s="3" t="s">
        <v>132</v>
      </c>
      <c r="M5" s="3" t="s">
        <v>28</v>
      </c>
      <c r="N5" s="21" t="b">
        <v>0</v>
      </c>
      <c r="O5" s="21" t="b">
        <v>1</v>
      </c>
      <c r="P5" s="3"/>
      <c r="Q5" s="4"/>
      <c r="R5" s="21" t="b">
        <v>1</v>
      </c>
      <c r="S5" s="21" t="b">
        <v>0</v>
      </c>
      <c r="T5" s="3"/>
      <c r="U5" s="3" t="s">
        <v>141</v>
      </c>
      <c r="V5" s="21" t="b">
        <v>0</v>
      </c>
      <c r="W5" s="21" t="b">
        <v>1</v>
      </c>
      <c r="X5" s="3"/>
      <c r="Y5" s="3" t="s">
        <v>150</v>
      </c>
      <c r="Z5" s="21" t="b">
        <v>0</v>
      </c>
      <c r="AA5" s="21" t="b">
        <v>1</v>
      </c>
      <c r="AB5" s="3" t="s">
        <v>13</v>
      </c>
      <c r="AC5" s="3"/>
      <c r="AD5" s="21" t="b">
        <v>0</v>
      </c>
      <c r="AE5" s="21" t="b">
        <v>1</v>
      </c>
      <c r="AF5" s="3" t="s">
        <v>27</v>
      </c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</row>
    <row r="6" spans="1:53" x14ac:dyDescent="0.3">
      <c r="A6" s="11" t="s">
        <v>89</v>
      </c>
      <c r="B6" s="3"/>
      <c r="C6" s="3" t="s">
        <v>35</v>
      </c>
      <c r="D6" s="3" t="s">
        <v>38</v>
      </c>
      <c r="E6" s="3"/>
      <c r="F6" s="21" t="b">
        <v>1</v>
      </c>
      <c r="G6" s="21" t="b">
        <v>0</v>
      </c>
      <c r="H6" s="3"/>
      <c r="I6" s="3"/>
      <c r="J6" s="21" t="b">
        <v>0</v>
      </c>
      <c r="K6" s="21" t="b">
        <v>1</v>
      </c>
      <c r="L6" s="3" t="s">
        <v>38</v>
      </c>
      <c r="M6" s="3" t="s">
        <v>129</v>
      </c>
      <c r="N6" s="21" t="b">
        <v>0</v>
      </c>
      <c r="O6" s="21" t="b">
        <v>1</v>
      </c>
      <c r="P6" s="3"/>
      <c r="Q6" s="3"/>
      <c r="R6" s="21" t="b">
        <v>0</v>
      </c>
      <c r="S6" s="21" t="b">
        <v>1</v>
      </c>
      <c r="T6" s="3" t="s">
        <v>136</v>
      </c>
      <c r="U6" s="3" t="s">
        <v>142</v>
      </c>
      <c r="V6" s="21" t="b">
        <v>0</v>
      </c>
      <c r="W6" s="21" t="b">
        <v>1</v>
      </c>
      <c r="X6" s="3" t="s">
        <v>147</v>
      </c>
      <c r="Y6" s="3" t="s">
        <v>153</v>
      </c>
      <c r="Z6" s="21" t="b">
        <v>0</v>
      </c>
      <c r="AA6" s="21" t="b">
        <v>1</v>
      </c>
      <c r="AB6" s="3" t="s">
        <v>13</v>
      </c>
      <c r="AC6" s="3"/>
      <c r="AD6" s="21" t="b">
        <v>0</v>
      </c>
      <c r="AE6" s="21" t="b">
        <v>1</v>
      </c>
      <c r="AF6" s="3" t="s">
        <v>162</v>
      </c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</row>
    <row r="7" spans="1:53" s="26" customFormat="1" ht="15" thickBot="1" x14ac:dyDescent="0.35">
      <c r="A7" s="11" t="s">
        <v>90</v>
      </c>
      <c r="B7" s="3"/>
      <c r="C7" s="3" t="s">
        <v>35</v>
      </c>
      <c r="D7" s="3" t="s">
        <v>28</v>
      </c>
      <c r="E7" s="3"/>
      <c r="F7" s="21" t="b">
        <v>0</v>
      </c>
      <c r="G7" s="21" t="b">
        <v>1</v>
      </c>
      <c r="H7" s="3" t="s">
        <v>28</v>
      </c>
      <c r="I7" s="3"/>
      <c r="J7" s="21" t="b">
        <v>0</v>
      </c>
      <c r="K7" s="21" t="b">
        <v>1</v>
      </c>
      <c r="L7" s="3" t="s">
        <v>85</v>
      </c>
      <c r="M7" s="3" t="s">
        <v>28</v>
      </c>
      <c r="N7" s="21" t="b">
        <v>0</v>
      </c>
      <c r="O7" s="21" t="b">
        <v>1</v>
      </c>
      <c r="P7" s="3"/>
      <c r="Q7" s="3"/>
      <c r="R7" s="21" t="b">
        <v>0</v>
      </c>
      <c r="S7" s="21" t="b">
        <v>1</v>
      </c>
      <c r="T7" s="3" t="s">
        <v>42</v>
      </c>
      <c r="U7" s="3" t="s">
        <v>143</v>
      </c>
      <c r="V7" s="21" t="b">
        <v>0</v>
      </c>
      <c r="W7" s="21" t="b">
        <v>1</v>
      </c>
      <c r="X7" s="3" t="s">
        <v>148</v>
      </c>
      <c r="Y7" s="3" t="s">
        <v>154</v>
      </c>
      <c r="Z7" s="21" t="b">
        <v>0</v>
      </c>
      <c r="AA7" s="21" t="b">
        <v>1</v>
      </c>
      <c r="AB7" s="3" t="s">
        <v>28</v>
      </c>
      <c r="AC7" s="3"/>
      <c r="AD7" s="21" t="b">
        <v>0</v>
      </c>
      <c r="AE7" s="21" t="b">
        <v>1</v>
      </c>
      <c r="AF7" s="3" t="s">
        <v>28</v>
      </c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</row>
    <row r="8" spans="1:53" x14ac:dyDescent="0.3">
      <c r="A8" s="11" t="s">
        <v>96</v>
      </c>
      <c r="B8" s="3"/>
      <c r="C8" s="3" t="s">
        <v>28</v>
      </c>
      <c r="D8" s="3" t="s">
        <v>35</v>
      </c>
      <c r="E8" s="3"/>
      <c r="F8" s="21" t="b">
        <v>0</v>
      </c>
      <c r="G8" s="21" t="b">
        <v>1</v>
      </c>
      <c r="H8" s="3" t="s">
        <v>13</v>
      </c>
      <c r="I8" s="3"/>
      <c r="J8" s="21" t="b">
        <v>0</v>
      </c>
      <c r="K8" s="21" t="b">
        <v>1</v>
      </c>
      <c r="L8" s="3" t="s">
        <v>42</v>
      </c>
      <c r="M8" s="3"/>
      <c r="N8" s="21" t="b">
        <v>1</v>
      </c>
      <c r="O8" s="21" t="b">
        <v>0</v>
      </c>
      <c r="P8" s="3"/>
      <c r="Q8" s="3"/>
      <c r="R8" s="21" t="b">
        <v>1</v>
      </c>
      <c r="S8" s="21" t="b">
        <v>0</v>
      </c>
      <c r="T8" s="3"/>
      <c r="U8" s="3" t="s">
        <v>144</v>
      </c>
      <c r="V8" s="21" t="b">
        <v>1</v>
      </c>
      <c r="W8" s="21" t="b">
        <v>0</v>
      </c>
      <c r="X8" s="3"/>
      <c r="Y8" s="3"/>
      <c r="Z8" s="21" t="b">
        <v>0</v>
      </c>
      <c r="AA8" s="21" t="b">
        <v>1</v>
      </c>
      <c r="AB8" s="3" t="s">
        <v>28</v>
      </c>
      <c r="AC8" s="3" t="s">
        <v>13</v>
      </c>
      <c r="AD8" s="21" t="b">
        <v>1</v>
      </c>
      <c r="AE8" s="21" t="b">
        <v>0</v>
      </c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</row>
    <row r="9" spans="1:53" x14ac:dyDescent="0.3">
      <c r="A9" s="11" t="s">
        <v>97</v>
      </c>
      <c r="B9" s="3"/>
      <c r="C9" s="3" t="s">
        <v>28</v>
      </c>
      <c r="D9" s="3" t="s">
        <v>35</v>
      </c>
      <c r="E9" s="3"/>
      <c r="F9" s="21" t="b">
        <v>1</v>
      </c>
      <c r="G9" s="21" t="b">
        <v>0</v>
      </c>
      <c r="H9" s="3"/>
      <c r="I9" s="3"/>
      <c r="J9" s="21" t="b">
        <v>1</v>
      </c>
      <c r="K9" s="21" t="b">
        <v>0</v>
      </c>
      <c r="L9" s="3"/>
      <c r="M9" s="3"/>
      <c r="N9" s="21" t="b">
        <v>1</v>
      </c>
      <c r="O9" s="21" t="b">
        <v>0</v>
      </c>
      <c r="P9" s="3"/>
      <c r="Q9" s="3"/>
      <c r="R9" s="21" t="b">
        <v>0</v>
      </c>
      <c r="S9" s="21" t="b">
        <v>1</v>
      </c>
      <c r="T9" s="3" t="s">
        <v>137</v>
      </c>
      <c r="U9" s="3" t="s">
        <v>145</v>
      </c>
      <c r="V9" s="21" t="b">
        <v>0</v>
      </c>
      <c r="W9" s="21" t="b">
        <v>1</v>
      </c>
      <c r="X9" s="3" t="s">
        <v>30</v>
      </c>
      <c r="Y9" s="3" t="s">
        <v>155</v>
      </c>
      <c r="Z9" s="21" t="b">
        <v>0</v>
      </c>
      <c r="AA9" s="21" t="b">
        <v>1</v>
      </c>
      <c r="AB9" s="3" t="s">
        <v>13</v>
      </c>
      <c r="AC9" s="3"/>
      <c r="AD9" s="21" t="b">
        <v>1</v>
      </c>
      <c r="AE9" s="21" t="b">
        <v>0</v>
      </c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</row>
    <row r="10" spans="1:53" x14ac:dyDescent="0.3">
      <c r="A10" s="11" t="s">
        <v>95</v>
      </c>
      <c r="B10" s="3"/>
      <c r="C10" s="3" t="s">
        <v>35</v>
      </c>
      <c r="D10" s="3" t="s">
        <v>13</v>
      </c>
      <c r="E10" s="3"/>
      <c r="F10" s="21" t="b">
        <v>0</v>
      </c>
      <c r="G10" s="21" t="b">
        <v>1</v>
      </c>
      <c r="H10" s="3" t="s">
        <v>18</v>
      </c>
      <c r="I10" s="3"/>
      <c r="J10" s="21" t="b">
        <v>0</v>
      </c>
      <c r="K10" s="21" t="b">
        <v>1</v>
      </c>
      <c r="L10" s="3" t="s">
        <v>132</v>
      </c>
      <c r="M10" s="3" t="s">
        <v>28</v>
      </c>
      <c r="N10" s="21" t="b">
        <v>0</v>
      </c>
      <c r="O10" s="21" t="b">
        <v>1</v>
      </c>
      <c r="P10" s="3"/>
      <c r="Q10" s="3"/>
      <c r="R10" s="21" t="b">
        <v>0</v>
      </c>
      <c r="S10" s="21" t="b">
        <v>1</v>
      </c>
      <c r="T10" s="3" t="s">
        <v>138</v>
      </c>
      <c r="U10" s="3" t="s">
        <v>146</v>
      </c>
      <c r="V10" s="21" t="b">
        <v>0</v>
      </c>
      <c r="W10" s="21" t="b">
        <v>1</v>
      </c>
      <c r="X10" s="3" t="s">
        <v>149</v>
      </c>
      <c r="Y10" s="3" t="s">
        <v>150</v>
      </c>
      <c r="Z10" s="21" t="b">
        <v>0</v>
      </c>
      <c r="AA10" s="21" t="b">
        <v>1</v>
      </c>
      <c r="AB10" s="3"/>
      <c r="AC10" s="3"/>
      <c r="AD10" s="21" t="b">
        <v>0</v>
      </c>
      <c r="AE10" s="21" t="b">
        <v>1</v>
      </c>
      <c r="AF10" s="3" t="s">
        <v>163</v>
      </c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</row>
    <row r="11" spans="1:53" s="26" customFormat="1" ht="15" thickBot="1" x14ac:dyDescent="0.35">
      <c r="A11" s="11" t="s">
        <v>91</v>
      </c>
      <c r="B11" s="25"/>
      <c r="C11" s="3" t="s">
        <v>35</v>
      </c>
      <c r="D11" s="3" t="s">
        <v>38</v>
      </c>
      <c r="E11" s="3"/>
      <c r="F11" s="21" t="b">
        <v>1</v>
      </c>
      <c r="G11" s="21" t="b">
        <v>0</v>
      </c>
      <c r="H11" s="3"/>
      <c r="I11" s="3"/>
      <c r="J11" s="21" t="b">
        <v>1</v>
      </c>
      <c r="K11" s="21" t="b">
        <v>0</v>
      </c>
      <c r="L11" s="3"/>
      <c r="M11" s="3" t="s">
        <v>133</v>
      </c>
      <c r="N11" s="21" t="b">
        <v>1</v>
      </c>
      <c r="O11" s="21" t="b">
        <v>0</v>
      </c>
      <c r="P11" s="3"/>
      <c r="Q11" s="3"/>
      <c r="R11" s="21" t="b">
        <v>1</v>
      </c>
      <c r="S11" s="21" t="b">
        <v>0</v>
      </c>
      <c r="T11" s="3"/>
      <c r="U11" s="3" t="s">
        <v>135</v>
      </c>
      <c r="V11" s="21" t="b">
        <v>0</v>
      </c>
      <c r="W11" s="21" t="b">
        <v>1</v>
      </c>
      <c r="X11" s="3" t="s">
        <v>38</v>
      </c>
      <c r="Y11" s="3" t="s">
        <v>84</v>
      </c>
      <c r="Z11" s="21" t="b">
        <v>0</v>
      </c>
      <c r="AA11" s="21" t="b">
        <v>1</v>
      </c>
      <c r="AB11" s="3" t="s">
        <v>13</v>
      </c>
      <c r="AC11" s="3"/>
      <c r="AD11" s="21" t="b">
        <v>0</v>
      </c>
      <c r="AE11" s="21" t="b">
        <v>1</v>
      </c>
      <c r="AF11" s="3" t="s">
        <v>13</v>
      </c>
      <c r="AG11" s="3"/>
      <c r="AH11" s="3"/>
      <c r="AI11" s="25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</row>
    <row r="12" spans="1:53" x14ac:dyDescent="0.3">
      <c r="A12" s="11" t="s">
        <v>92</v>
      </c>
      <c r="B12" s="24"/>
      <c r="C12" s="3" t="s">
        <v>35</v>
      </c>
      <c r="D12" s="3" t="s">
        <v>35</v>
      </c>
      <c r="E12" s="3"/>
      <c r="F12" s="21" t="b">
        <v>1</v>
      </c>
      <c r="G12" s="21" t="b">
        <v>0</v>
      </c>
      <c r="H12" s="3"/>
      <c r="I12" s="3"/>
      <c r="J12" s="21" t="b">
        <v>1</v>
      </c>
      <c r="K12" s="21" t="b">
        <v>0</v>
      </c>
      <c r="L12" s="3"/>
      <c r="M12" s="3" t="s">
        <v>134</v>
      </c>
      <c r="N12" s="21" t="b">
        <v>1</v>
      </c>
      <c r="O12" s="21" t="b">
        <v>0</v>
      </c>
      <c r="P12" s="3"/>
      <c r="Q12" s="3"/>
      <c r="R12" s="21" t="b">
        <v>1</v>
      </c>
      <c r="S12" s="21" t="b">
        <v>0</v>
      </c>
      <c r="T12" s="3"/>
      <c r="U12" s="3"/>
      <c r="V12" s="21" t="b">
        <v>1</v>
      </c>
      <c r="W12" s="21" t="b">
        <v>0</v>
      </c>
      <c r="X12" s="3"/>
      <c r="Y12" s="3" t="s">
        <v>156</v>
      </c>
      <c r="Z12" s="21" t="b">
        <v>0</v>
      </c>
      <c r="AA12" s="21" t="b">
        <v>1</v>
      </c>
      <c r="AB12" s="3" t="s">
        <v>159</v>
      </c>
      <c r="AC12" s="3"/>
      <c r="AD12" s="21" t="b">
        <v>0</v>
      </c>
      <c r="AE12" s="21" t="b">
        <v>1</v>
      </c>
      <c r="AF12" s="3" t="s">
        <v>28</v>
      </c>
      <c r="AG12" s="3"/>
      <c r="AH12" s="3"/>
      <c r="AI12" s="24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</row>
    <row r="13" spans="1:53" x14ac:dyDescent="0.3">
      <c r="A13" s="11" t="s">
        <v>80</v>
      </c>
      <c r="B13" s="9"/>
      <c r="C13" s="3" t="s">
        <v>35</v>
      </c>
      <c r="D13" s="3" t="s">
        <v>18</v>
      </c>
      <c r="E13" s="3"/>
      <c r="F13" s="21" t="b">
        <v>1</v>
      </c>
      <c r="G13" s="21" t="b">
        <v>0</v>
      </c>
      <c r="H13" s="3"/>
      <c r="I13" s="3"/>
      <c r="J13" s="21" t="b">
        <v>1</v>
      </c>
      <c r="K13" s="21" t="b">
        <v>0</v>
      </c>
      <c r="L13" s="3"/>
      <c r="M13" s="3" t="s">
        <v>133</v>
      </c>
      <c r="N13" s="21" t="b">
        <v>1</v>
      </c>
      <c r="O13" s="21" t="b">
        <v>0</v>
      </c>
      <c r="P13" s="3"/>
      <c r="Q13" s="3"/>
      <c r="R13" s="21" t="b">
        <v>1</v>
      </c>
      <c r="S13" s="21" t="b">
        <v>0</v>
      </c>
      <c r="T13" s="3"/>
      <c r="U13" s="3"/>
      <c r="V13" s="21" t="b">
        <v>0</v>
      </c>
      <c r="W13" s="21" t="b">
        <v>1</v>
      </c>
      <c r="X13" s="3" t="s">
        <v>150</v>
      </c>
      <c r="Y13" s="3"/>
      <c r="Z13" s="21" t="b">
        <v>0</v>
      </c>
      <c r="AA13" s="21" t="b">
        <v>1</v>
      </c>
      <c r="AB13" s="3" t="s">
        <v>160</v>
      </c>
      <c r="AC13" s="3"/>
      <c r="AD13" s="21" t="b">
        <v>0</v>
      </c>
      <c r="AE13" s="21" t="b">
        <v>1</v>
      </c>
      <c r="AF13" s="3" t="s">
        <v>162</v>
      </c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</row>
    <row r="14" spans="1:53" x14ac:dyDescent="0.3">
      <c r="A14" s="11" t="s">
        <v>86</v>
      </c>
      <c r="B14" s="3"/>
      <c r="C14" s="3" t="s">
        <v>35</v>
      </c>
      <c r="D14" s="3" t="s">
        <v>38</v>
      </c>
      <c r="E14" s="3"/>
      <c r="F14" s="21" t="b">
        <v>1</v>
      </c>
      <c r="G14" s="21" t="b">
        <v>0</v>
      </c>
      <c r="H14" s="3"/>
      <c r="I14" s="3"/>
      <c r="J14" s="21" t="b">
        <v>0</v>
      </c>
      <c r="K14" s="21" t="b">
        <v>1</v>
      </c>
      <c r="L14" s="3" t="s">
        <v>38</v>
      </c>
      <c r="M14" s="3" t="s">
        <v>135</v>
      </c>
      <c r="N14" s="21" t="b">
        <v>0</v>
      </c>
      <c r="O14" s="21" t="b">
        <v>1</v>
      </c>
      <c r="P14" s="3"/>
      <c r="Q14" s="3"/>
      <c r="R14" s="21" t="b">
        <v>0</v>
      </c>
      <c r="S14" s="21" t="b">
        <v>1</v>
      </c>
      <c r="T14" s="3" t="s">
        <v>139</v>
      </c>
      <c r="U14" s="3" t="s">
        <v>146</v>
      </c>
      <c r="V14" s="21" t="b">
        <v>0</v>
      </c>
      <c r="W14" s="21" t="b">
        <v>1</v>
      </c>
      <c r="X14" s="3" t="s">
        <v>151</v>
      </c>
      <c r="Y14" s="3" t="s">
        <v>157</v>
      </c>
      <c r="Z14" s="21" t="b">
        <v>0</v>
      </c>
      <c r="AA14" s="21" t="b">
        <v>1</v>
      </c>
      <c r="AB14" s="3"/>
      <c r="AC14" s="3"/>
      <c r="AD14" s="21" t="b">
        <v>0</v>
      </c>
      <c r="AE14" s="21" t="b">
        <v>1</v>
      </c>
      <c r="AF14" s="3" t="s">
        <v>164</v>
      </c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</row>
    <row r="15" spans="1:53" s="26" customFormat="1" ht="15" thickBot="1" x14ac:dyDescent="0.35">
      <c r="A15" s="11" t="s">
        <v>93</v>
      </c>
      <c r="B15" s="3"/>
      <c r="C15" s="3" t="s">
        <v>35</v>
      </c>
      <c r="D15" s="3" t="s">
        <v>35</v>
      </c>
      <c r="E15" s="3"/>
      <c r="F15" s="21" t="b">
        <v>1</v>
      </c>
      <c r="G15" s="21" t="b">
        <v>0</v>
      </c>
      <c r="H15" s="3"/>
      <c r="I15" s="3"/>
      <c r="J15" s="21" t="b">
        <v>1</v>
      </c>
      <c r="K15" s="21" t="b">
        <v>0</v>
      </c>
      <c r="L15" s="3"/>
      <c r="M15" s="3"/>
      <c r="N15" s="21" t="b">
        <v>1</v>
      </c>
      <c r="O15" s="21" t="b">
        <v>0</v>
      </c>
      <c r="P15" s="3"/>
      <c r="Q15" s="3"/>
      <c r="R15" s="21" t="b">
        <v>0</v>
      </c>
      <c r="S15" s="21" t="b">
        <v>1</v>
      </c>
      <c r="T15" s="3" t="s">
        <v>42</v>
      </c>
      <c r="U15" s="3"/>
      <c r="V15" s="21" t="b">
        <v>0</v>
      </c>
      <c r="W15" s="21" t="b">
        <v>1</v>
      </c>
      <c r="X15" s="3" t="s">
        <v>85</v>
      </c>
      <c r="Y15" s="3" t="s">
        <v>158</v>
      </c>
      <c r="Z15" s="21" t="b">
        <v>1</v>
      </c>
      <c r="AA15" s="21" t="b">
        <v>0</v>
      </c>
      <c r="AB15" s="3"/>
      <c r="AC15" s="3"/>
      <c r="AD15" s="21" t="b">
        <v>0</v>
      </c>
      <c r="AE15" s="21" t="b">
        <v>1</v>
      </c>
      <c r="AF15" s="3" t="s">
        <v>85</v>
      </c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</row>
    <row r="16" spans="1:53" x14ac:dyDescent="0.3">
      <c r="A16" s="11" t="s">
        <v>87</v>
      </c>
      <c r="B16" s="3"/>
      <c r="C16" s="3" t="s">
        <v>35</v>
      </c>
      <c r="D16" s="3" t="s">
        <v>13</v>
      </c>
      <c r="E16" s="3"/>
      <c r="F16" s="21" t="b">
        <v>0</v>
      </c>
      <c r="G16" s="21" t="b">
        <v>1</v>
      </c>
      <c r="H16" s="3" t="s">
        <v>13</v>
      </c>
      <c r="I16" s="3"/>
      <c r="J16" s="21" t="b">
        <v>1</v>
      </c>
      <c r="K16" s="21" t="b">
        <v>0</v>
      </c>
      <c r="L16" s="3"/>
      <c r="M16" s="3"/>
      <c r="N16" s="21" t="b">
        <v>1</v>
      </c>
      <c r="O16" s="21" t="b">
        <v>0</v>
      </c>
      <c r="P16" s="3"/>
      <c r="Q16" s="3"/>
      <c r="R16" s="21" t="b">
        <v>0</v>
      </c>
      <c r="S16" s="21" t="b">
        <v>1</v>
      </c>
      <c r="T16" s="3" t="s">
        <v>140</v>
      </c>
      <c r="U16" s="3"/>
      <c r="V16" s="21" t="b">
        <v>1</v>
      </c>
      <c r="W16" s="21" t="b">
        <v>0</v>
      </c>
      <c r="X16" s="3"/>
      <c r="Y16" s="3"/>
      <c r="Z16" s="21" t="b">
        <v>1</v>
      </c>
      <c r="AA16" s="21" t="b">
        <v>0</v>
      </c>
      <c r="AB16" s="3"/>
      <c r="AC16" s="3"/>
      <c r="AD16" s="21" t="b">
        <v>1</v>
      </c>
      <c r="AE16" s="21" t="b">
        <v>0</v>
      </c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</row>
    <row r="17" spans="34:34" x14ac:dyDescent="0.3">
      <c r="AH17" s="22" t="e">
        <f>+AVERAGE(AH4:AH16)</f>
        <v>#DIV/0!</v>
      </c>
    </row>
    <row r="36" spans="4:5" ht="33.6" x14ac:dyDescent="0.65">
      <c r="D36" s="19" t="s">
        <v>56</v>
      </c>
      <c r="E36" s="20" t="s">
        <v>13</v>
      </c>
    </row>
    <row r="37" spans="4:5" ht="33.6" x14ac:dyDescent="0.65">
      <c r="D37" s="19" t="s">
        <v>57</v>
      </c>
      <c r="E37" s="20" t="s">
        <v>21</v>
      </c>
    </row>
    <row r="38" spans="4:5" ht="33.6" x14ac:dyDescent="0.65">
      <c r="D38" s="19" t="s">
        <v>59</v>
      </c>
      <c r="E38" s="20" t="s">
        <v>28</v>
      </c>
    </row>
    <row r="39" spans="4:5" ht="33.6" x14ac:dyDescent="0.65">
      <c r="D39" s="19" t="s">
        <v>19</v>
      </c>
      <c r="E39" s="20" t="s">
        <v>35</v>
      </c>
    </row>
    <row r="40" spans="4:5" ht="33.6" x14ac:dyDescent="0.65">
      <c r="D40" s="19" t="s">
        <v>20</v>
      </c>
      <c r="E40" s="20" t="s">
        <v>38</v>
      </c>
    </row>
    <row r="41" spans="4:5" ht="33.6" x14ac:dyDescent="0.65">
      <c r="D41" s="19" t="s">
        <v>22</v>
      </c>
      <c r="E41" s="20" t="s">
        <v>18</v>
      </c>
    </row>
    <row r="42" spans="4:5" ht="33.6" x14ac:dyDescent="0.65">
      <c r="D42" s="19" t="s">
        <v>24</v>
      </c>
      <c r="E42" s="20" t="s">
        <v>45</v>
      </c>
    </row>
    <row r="43" spans="4:5" ht="31.2" x14ac:dyDescent="0.6">
      <c r="D43" s="19" t="s">
        <v>26</v>
      </c>
      <c r="E43" s="19" t="s">
        <v>40</v>
      </c>
    </row>
    <row r="44" spans="4:5" ht="31.2" x14ac:dyDescent="0.6">
      <c r="D44" s="19" t="s">
        <v>62</v>
      </c>
      <c r="E44" s="19" t="s">
        <v>67</v>
      </c>
    </row>
    <row r="45" spans="4:5" ht="31.2" x14ac:dyDescent="0.6">
      <c r="D45" s="19" t="s">
        <v>31</v>
      </c>
      <c r="E45" s="19" t="s">
        <v>68</v>
      </c>
    </row>
    <row r="46" spans="4:5" ht="31.2" x14ac:dyDescent="0.6">
      <c r="D46" s="19" t="s">
        <v>63</v>
      </c>
      <c r="E46" s="19" t="s">
        <v>69</v>
      </c>
    </row>
    <row r="47" spans="4:5" ht="31.2" x14ac:dyDescent="0.6">
      <c r="D47" s="19" t="s">
        <v>32</v>
      </c>
      <c r="E47" s="19" t="s">
        <v>44</v>
      </c>
    </row>
    <row r="48" spans="4:5" ht="31.2" x14ac:dyDescent="0.6">
      <c r="D48" s="19" t="s">
        <v>64</v>
      </c>
      <c r="E48" s="19" t="s">
        <v>70</v>
      </c>
    </row>
    <row r="49" spans="4:5" ht="31.2" x14ac:dyDescent="0.6">
      <c r="D49" s="19" t="s">
        <v>61</v>
      </c>
      <c r="E49" s="19" t="s">
        <v>71</v>
      </c>
    </row>
    <row r="50" spans="4:5" ht="31.2" x14ac:dyDescent="0.6">
      <c r="D50" s="19" t="s">
        <v>36</v>
      </c>
      <c r="E50" s="19" t="s">
        <v>72</v>
      </c>
    </row>
    <row r="51" spans="4:5" ht="31.2" x14ac:dyDescent="0.6">
      <c r="D51" s="19" t="s">
        <v>60</v>
      </c>
    </row>
    <row r="52" spans="4:5" ht="31.2" x14ac:dyDescent="0.6">
      <c r="D52" s="19" t="s">
        <v>37</v>
      </c>
    </row>
    <row r="53" spans="4:5" ht="31.2" x14ac:dyDescent="0.6">
      <c r="D53" s="19" t="s">
        <v>39</v>
      </c>
    </row>
    <row r="54" spans="4:5" ht="31.2" x14ac:dyDescent="0.6">
      <c r="D54" s="19" t="s">
        <v>65</v>
      </c>
    </row>
    <row r="55" spans="4:5" ht="31.2" x14ac:dyDescent="0.6">
      <c r="D55" s="19" t="s">
        <v>66</v>
      </c>
    </row>
    <row r="56" spans="4:5" ht="31.2" x14ac:dyDescent="0.6">
      <c r="D56" s="19"/>
    </row>
    <row r="57" spans="4:5" ht="31.2" x14ac:dyDescent="0.6">
      <c r="D57" s="19"/>
    </row>
    <row r="58" spans="4:5" ht="31.2" x14ac:dyDescent="0.6">
      <c r="D58" s="19"/>
    </row>
    <row r="59" spans="4:5" ht="31.2" x14ac:dyDescent="0.6">
      <c r="D59" s="19"/>
    </row>
    <row r="60" spans="4:5" ht="31.2" x14ac:dyDescent="0.6">
      <c r="D60" s="19"/>
    </row>
    <row r="61" spans="4:5" ht="31.2" x14ac:dyDescent="0.6">
      <c r="D61" s="19"/>
    </row>
    <row r="62" spans="4:5" ht="31.2" x14ac:dyDescent="0.6">
      <c r="D62" s="19"/>
    </row>
    <row r="63" spans="4:5" ht="31.2" x14ac:dyDescent="0.6">
      <c r="D63" s="19"/>
    </row>
  </sheetData>
  <mergeCells count="15">
    <mergeCell ref="C2:D2"/>
    <mergeCell ref="F2:G2"/>
    <mergeCell ref="E1:H1"/>
    <mergeCell ref="J2:K2"/>
    <mergeCell ref="I1:L1"/>
    <mergeCell ref="AC1:AF1"/>
    <mergeCell ref="AD2:AE2"/>
    <mergeCell ref="Z2:AA2"/>
    <mergeCell ref="Y1:AB1"/>
    <mergeCell ref="N2:O2"/>
    <mergeCell ref="M1:P1"/>
    <mergeCell ref="Q1:T1"/>
    <mergeCell ref="R2:S2"/>
    <mergeCell ref="U1:X1"/>
    <mergeCell ref="V2:W2"/>
  </mergeCells>
  <pageMargins left="0.22" right="0.1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50C26-6977-44E0-8C8D-AD4625C2E8E0}">
  <dimension ref="A1:R17"/>
  <sheetViews>
    <sheetView tabSelected="1" workbookViewId="0">
      <selection activeCell="C30" sqref="C30"/>
    </sheetView>
  </sheetViews>
  <sheetFormatPr baseColWidth="10" defaultRowHeight="14.4" x14ac:dyDescent="0.3"/>
  <cols>
    <col min="3" max="3" width="20.109375" customWidth="1"/>
    <col min="4" max="4" width="15.5546875" customWidth="1"/>
    <col min="5" max="5" width="17.6640625" customWidth="1"/>
    <col min="6" max="6" width="19.5546875" customWidth="1"/>
    <col min="7" max="7" width="16.21875" customWidth="1"/>
    <col min="11" max="12" width="16.109375" customWidth="1"/>
    <col min="13" max="13" width="17.33203125" customWidth="1"/>
    <col min="15" max="15" width="27.5546875" customWidth="1"/>
    <col min="17" max="17" width="16.109375" customWidth="1"/>
  </cols>
  <sheetData>
    <row r="1" spans="1:18" ht="15.6" x14ac:dyDescent="0.3">
      <c r="A1" s="13" t="s">
        <v>73</v>
      </c>
      <c r="B1" s="50" t="s">
        <v>55</v>
      </c>
      <c r="C1" s="51"/>
      <c r="D1" s="50" t="s">
        <v>77</v>
      </c>
      <c r="E1" s="51"/>
      <c r="F1" s="35" t="s">
        <v>165</v>
      </c>
      <c r="G1" s="35" t="s">
        <v>166</v>
      </c>
      <c r="H1" s="35" t="s">
        <v>167</v>
      </c>
      <c r="I1" s="35" t="s">
        <v>168</v>
      </c>
      <c r="J1" s="35" t="s">
        <v>169</v>
      </c>
      <c r="K1" s="35" t="s">
        <v>170</v>
      </c>
      <c r="L1" s="35" t="s">
        <v>171</v>
      </c>
      <c r="M1" s="50" t="s">
        <v>78</v>
      </c>
      <c r="N1" s="51"/>
      <c r="O1" s="63" t="s">
        <v>179</v>
      </c>
      <c r="Q1" s="50" t="s">
        <v>79</v>
      </c>
      <c r="R1" s="51">
        <v>7</v>
      </c>
    </row>
    <row r="2" spans="1:18" ht="15.6" x14ac:dyDescent="0.3">
      <c r="A2" s="30"/>
      <c r="B2" s="18" t="s">
        <v>53</v>
      </c>
      <c r="C2" s="18" t="s">
        <v>54</v>
      </c>
      <c r="D2" s="2" t="s">
        <v>6</v>
      </c>
      <c r="E2" s="2" t="s">
        <v>7</v>
      </c>
      <c r="F2" s="54" t="s">
        <v>49</v>
      </c>
      <c r="G2" s="55"/>
      <c r="H2" s="55"/>
      <c r="I2" s="55"/>
      <c r="J2" s="55"/>
      <c r="K2" s="56"/>
      <c r="L2" s="36"/>
      <c r="M2" s="16" t="s">
        <v>75</v>
      </c>
      <c r="N2" s="16" t="s">
        <v>76</v>
      </c>
      <c r="O2" s="16"/>
      <c r="Q2" s="16">
        <v>7</v>
      </c>
    </row>
    <row r="3" spans="1:18" x14ac:dyDescent="0.3">
      <c r="A3" s="11" t="s">
        <v>88</v>
      </c>
      <c r="B3" s="3" t="s">
        <v>35</v>
      </c>
      <c r="C3" s="3" t="s">
        <v>35</v>
      </c>
      <c r="D3" s="8" t="s">
        <v>12</v>
      </c>
      <c r="E3" s="3"/>
      <c r="F3" s="12" t="b">
        <v>1</v>
      </c>
      <c r="G3" s="12" t="b">
        <v>1</v>
      </c>
      <c r="H3" s="12" t="b">
        <v>0</v>
      </c>
      <c r="I3" s="12" t="b">
        <v>1</v>
      </c>
      <c r="J3" s="12" t="b">
        <v>1</v>
      </c>
      <c r="K3" s="12" t="b">
        <v>1</v>
      </c>
      <c r="L3" s="12" t="b">
        <v>0</v>
      </c>
      <c r="M3" s="1">
        <f>COUNTIF(F3:L3,TRUE)</f>
        <v>5</v>
      </c>
      <c r="N3" s="1">
        <f>+ROUND((M3/$Q$2)*100,2)</f>
        <v>71.430000000000007</v>
      </c>
      <c r="O3" s="1" t="s">
        <v>180</v>
      </c>
    </row>
    <row r="4" spans="1:18" x14ac:dyDescent="0.3">
      <c r="A4" s="11" t="s">
        <v>94</v>
      </c>
      <c r="B4" s="3" t="s">
        <v>35</v>
      </c>
      <c r="C4" s="3" t="s">
        <v>13</v>
      </c>
      <c r="D4" s="37" t="s">
        <v>126</v>
      </c>
      <c r="E4" s="7" t="s">
        <v>29</v>
      </c>
      <c r="F4" s="21" t="b">
        <v>1</v>
      </c>
      <c r="G4" s="21" t="b">
        <v>0</v>
      </c>
      <c r="H4" s="21" t="b">
        <v>0</v>
      </c>
      <c r="I4" s="21" t="b">
        <v>1</v>
      </c>
      <c r="J4" s="21" t="b">
        <v>0</v>
      </c>
      <c r="K4" s="21" t="b">
        <v>0</v>
      </c>
      <c r="L4" s="21" t="b">
        <v>0</v>
      </c>
      <c r="M4" s="1">
        <f t="shared" ref="M4:M15" si="0">COUNTIF(F4:L4,TRUE)</f>
        <v>2</v>
      </c>
      <c r="N4" s="1">
        <f>+ROUND((M4/$Q$2)*100,2)</f>
        <v>28.57</v>
      </c>
      <c r="O4" s="1" t="s">
        <v>181</v>
      </c>
    </row>
    <row r="5" spans="1:18" x14ac:dyDescent="0.3">
      <c r="A5" s="57" t="s">
        <v>89</v>
      </c>
      <c r="B5" s="58" t="s">
        <v>35</v>
      </c>
      <c r="C5" s="58" t="s">
        <v>38</v>
      </c>
      <c r="D5" s="59" t="s">
        <v>127</v>
      </c>
      <c r="E5" s="58"/>
      <c r="F5" s="60" t="b">
        <v>1</v>
      </c>
      <c r="G5" s="60" t="b">
        <v>0</v>
      </c>
      <c r="H5" s="60" t="b">
        <v>0</v>
      </c>
      <c r="I5" s="60" t="b">
        <v>0</v>
      </c>
      <c r="J5" s="60" t="b">
        <v>0</v>
      </c>
      <c r="K5" s="60" t="b">
        <v>0</v>
      </c>
      <c r="L5" s="60" t="b">
        <v>0</v>
      </c>
      <c r="M5" s="62">
        <f t="shared" si="0"/>
        <v>1</v>
      </c>
      <c r="N5" s="1">
        <f>+ROUND((M5/$Q$2)*100,2)</f>
        <v>14.29</v>
      </c>
      <c r="O5" s="1" t="s">
        <v>182</v>
      </c>
    </row>
    <row r="6" spans="1:18" s="61" customFormat="1" x14ac:dyDescent="0.3">
      <c r="A6" s="11" t="s">
        <v>90</v>
      </c>
      <c r="B6" s="3" t="s">
        <v>35</v>
      </c>
      <c r="C6" s="3" t="s">
        <v>28</v>
      </c>
      <c r="D6" s="6" t="s">
        <v>27</v>
      </c>
      <c r="E6" s="3"/>
      <c r="F6" s="21" t="b">
        <v>0</v>
      </c>
      <c r="G6" s="21" t="b">
        <v>0</v>
      </c>
      <c r="H6" s="21" t="b">
        <v>0</v>
      </c>
      <c r="I6" s="21" t="b">
        <v>0</v>
      </c>
      <c r="J6" s="21" t="b">
        <v>0</v>
      </c>
      <c r="K6" s="21" t="b">
        <v>0</v>
      </c>
      <c r="L6" s="21" t="b">
        <v>0</v>
      </c>
      <c r="M6" s="1">
        <f t="shared" si="0"/>
        <v>0</v>
      </c>
      <c r="N6" s="1">
        <f>+ROUND((M6/$Q$2)*100,2)</f>
        <v>0</v>
      </c>
      <c r="O6" s="1" t="s">
        <v>183</v>
      </c>
    </row>
    <row r="7" spans="1:18" s="61" customFormat="1" x14ac:dyDescent="0.3">
      <c r="A7" s="11" t="s">
        <v>96</v>
      </c>
      <c r="B7" s="3" t="s">
        <v>28</v>
      </c>
      <c r="C7" s="3" t="s">
        <v>35</v>
      </c>
      <c r="D7" s="8" t="s">
        <v>46</v>
      </c>
      <c r="E7" s="7" t="s">
        <v>128</v>
      </c>
      <c r="F7" s="21" t="b">
        <v>0</v>
      </c>
      <c r="G7" s="21" t="b">
        <v>0</v>
      </c>
      <c r="H7" s="21" t="b">
        <v>1</v>
      </c>
      <c r="I7" s="21" t="b">
        <v>1</v>
      </c>
      <c r="J7" s="21" t="b">
        <v>1</v>
      </c>
      <c r="K7" s="21" t="b">
        <v>0</v>
      </c>
      <c r="L7" s="21" t="b">
        <v>1</v>
      </c>
      <c r="M7" s="1">
        <f t="shared" si="0"/>
        <v>4</v>
      </c>
      <c r="N7" s="1">
        <f>+ROUND((M7/$Q$2)*100,2)</f>
        <v>57.14</v>
      </c>
      <c r="O7" s="1" t="s">
        <v>28</v>
      </c>
    </row>
    <row r="8" spans="1:18" s="61" customFormat="1" x14ac:dyDescent="0.3">
      <c r="A8" s="11" t="s">
        <v>97</v>
      </c>
      <c r="B8" s="3" t="s">
        <v>28</v>
      </c>
      <c r="C8" s="3" t="s">
        <v>35</v>
      </c>
      <c r="D8" s="6" t="s">
        <v>129</v>
      </c>
      <c r="E8" s="3"/>
      <c r="F8" s="21" t="b">
        <v>1</v>
      </c>
      <c r="G8" s="21" t="b">
        <v>1</v>
      </c>
      <c r="H8" s="21" t="b">
        <v>1</v>
      </c>
      <c r="I8" s="21" t="b">
        <v>0</v>
      </c>
      <c r="J8" s="21" t="b">
        <v>0</v>
      </c>
      <c r="K8" s="21" t="b">
        <v>0</v>
      </c>
      <c r="L8" s="21" t="b">
        <v>1</v>
      </c>
      <c r="M8" s="1">
        <f t="shared" si="0"/>
        <v>4</v>
      </c>
      <c r="N8" s="1">
        <f>+ROUND((M8/$Q$2)*100,2)</f>
        <v>57.14</v>
      </c>
      <c r="O8" s="1" t="s">
        <v>184</v>
      </c>
    </row>
    <row r="9" spans="1:18" s="61" customFormat="1" x14ac:dyDescent="0.3">
      <c r="A9" s="11" t="s">
        <v>95</v>
      </c>
      <c r="B9" s="3" t="s">
        <v>35</v>
      </c>
      <c r="C9" s="3" t="s">
        <v>13</v>
      </c>
      <c r="D9" s="5"/>
      <c r="E9" s="3"/>
      <c r="F9" s="21" t="b">
        <v>0</v>
      </c>
      <c r="G9" s="21" t="b">
        <v>0</v>
      </c>
      <c r="H9" s="21" t="b">
        <v>0</v>
      </c>
      <c r="I9" s="21" t="b">
        <v>0</v>
      </c>
      <c r="J9" s="21" t="b">
        <v>0</v>
      </c>
      <c r="K9" s="21" t="b">
        <v>0</v>
      </c>
      <c r="L9" s="21" t="b">
        <v>0</v>
      </c>
      <c r="M9" s="1">
        <f t="shared" si="0"/>
        <v>0</v>
      </c>
      <c r="N9" s="1">
        <f>+ROUND((M9/$Q$2)*100,2)</f>
        <v>0</v>
      </c>
      <c r="O9" s="1" t="s">
        <v>185</v>
      </c>
    </row>
    <row r="10" spans="1:18" s="61" customFormat="1" x14ac:dyDescent="0.3">
      <c r="A10" s="11" t="s">
        <v>91</v>
      </c>
      <c r="B10" s="3" t="s">
        <v>35</v>
      </c>
      <c r="C10" s="3" t="s">
        <v>38</v>
      </c>
      <c r="D10" s="5"/>
      <c r="E10" s="3"/>
      <c r="F10" s="21" t="b">
        <v>1</v>
      </c>
      <c r="G10" s="21" t="b">
        <v>1</v>
      </c>
      <c r="H10" s="21" t="b">
        <v>1</v>
      </c>
      <c r="I10" s="21" t="b">
        <v>1</v>
      </c>
      <c r="J10" s="21" t="b">
        <v>0</v>
      </c>
      <c r="K10" s="21" t="b">
        <v>0</v>
      </c>
      <c r="L10" s="21" t="b">
        <v>0</v>
      </c>
      <c r="M10" s="1">
        <f t="shared" si="0"/>
        <v>4</v>
      </c>
      <c r="N10" s="1">
        <f>+ROUND((M10/$Q$2)*100,2)</f>
        <v>57.14</v>
      </c>
      <c r="O10" s="1" t="s">
        <v>186</v>
      </c>
    </row>
    <row r="11" spans="1:18" s="61" customFormat="1" x14ac:dyDescent="0.3">
      <c r="A11" s="11" t="s">
        <v>92</v>
      </c>
      <c r="B11" s="3" t="s">
        <v>35</v>
      </c>
      <c r="C11" s="3" t="s">
        <v>35</v>
      </c>
      <c r="D11" s="5"/>
      <c r="E11" s="3"/>
      <c r="F11" s="21" t="b">
        <v>1</v>
      </c>
      <c r="G11" s="21" t="b">
        <v>1</v>
      </c>
      <c r="H11" s="21" t="b">
        <v>1</v>
      </c>
      <c r="I11" s="21" t="b">
        <v>1</v>
      </c>
      <c r="J11" s="21" t="b">
        <v>1</v>
      </c>
      <c r="K11" s="21" t="b">
        <v>0</v>
      </c>
      <c r="L11" s="21" t="b">
        <v>0</v>
      </c>
      <c r="M11" s="1">
        <f t="shared" si="0"/>
        <v>5</v>
      </c>
      <c r="N11" s="1">
        <f>+ROUND((M11/$Q$2)*100,2)</f>
        <v>71.430000000000007</v>
      </c>
      <c r="O11" s="1" t="s">
        <v>28</v>
      </c>
    </row>
    <row r="12" spans="1:18" s="61" customFormat="1" x14ac:dyDescent="0.3">
      <c r="A12" s="11" t="s">
        <v>80</v>
      </c>
      <c r="B12" s="3" t="s">
        <v>35</v>
      </c>
      <c r="C12" s="3" t="s">
        <v>18</v>
      </c>
      <c r="D12" s="8" t="s">
        <v>30</v>
      </c>
      <c r="E12" s="37" t="s">
        <v>30</v>
      </c>
      <c r="F12" s="21" t="b">
        <v>1</v>
      </c>
      <c r="G12" s="21" t="b">
        <v>1</v>
      </c>
      <c r="H12" s="21" t="b">
        <v>1</v>
      </c>
      <c r="I12" s="21" t="b">
        <v>1</v>
      </c>
      <c r="J12" s="21" t="b">
        <v>0</v>
      </c>
      <c r="K12" s="21" t="b">
        <v>0</v>
      </c>
      <c r="L12" s="21" t="b">
        <v>0</v>
      </c>
      <c r="M12" s="1">
        <f t="shared" si="0"/>
        <v>4</v>
      </c>
      <c r="N12" s="1">
        <f>+ROUND((M12/$Q$2)*100,2)</f>
        <v>57.14</v>
      </c>
      <c r="O12" s="1" t="s">
        <v>185</v>
      </c>
    </row>
    <row r="13" spans="1:18" s="61" customFormat="1" x14ac:dyDescent="0.3">
      <c r="A13" s="11" t="s">
        <v>86</v>
      </c>
      <c r="B13" s="3" t="s">
        <v>35</v>
      </c>
      <c r="C13" s="3" t="s">
        <v>38</v>
      </c>
      <c r="D13" s="6" t="s">
        <v>129</v>
      </c>
      <c r="E13" s="10"/>
      <c r="F13" s="21" t="b">
        <v>1</v>
      </c>
      <c r="G13" s="21" t="b">
        <v>0</v>
      </c>
      <c r="H13" s="21" t="b">
        <v>0</v>
      </c>
      <c r="I13" s="21" t="b">
        <v>0</v>
      </c>
      <c r="J13" s="21" t="b">
        <v>0</v>
      </c>
      <c r="K13" s="21" t="b">
        <v>0</v>
      </c>
      <c r="L13" s="21" t="b">
        <v>0</v>
      </c>
      <c r="M13" s="1">
        <f t="shared" si="0"/>
        <v>1</v>
      </c>
      <c r="N13" s="1">
        <f>+ROUND((M13/$Q$2)*100,2)</f>
        <v>14.29</v>
      </c>
      <c r="O13" s="1" t="s">
        <v>187</v>
      </c>
    </row>
    <row r="14" spans="1:18" s="61" customFormat="1" x14ac:dyDescent="0.3">
      <c r="A14" s="11" t="s">
        <v>93</v>
      </c>
      <c r="B14" s="3" t="s">
        <v>35</v>
      </c>
      <c r="C14" s="3" t="s">
        <v>35</v>
      </c>
      <c r="D14" s="8" t="s">
        <v>30</v>
      </c>
      <c r="E14" s="37" t="s">
        <v>30</v>
      </c>
      <c r="F14" s="21" t="b">
        <v>1</v>
      </c>
      <c r="G14" s="21" t="b">
        <v>1</v>
      </c>
      <c r="H14" s="21" t="b">
        <v>1</v>
      </c>
      <c r="I14" s="21" t="b">
        <v>0</v>
      </c>
      <c r="J14" s="21" t="b">
        <v>0</v>
      </c>
      <c r="K14" s="21" t="b">
        <v>1</v>
      </c>
      <c r="L14" s="21" t="b">
        <v>0</v>
      </c>
      <c r="M14" s="1">
        <f t="shared" si="0"/>
        <v>4</v>
      </c>
      <c r="N14" s="1">
        <f>+ROUND((M14/$Q$2)*100,2)</f>
        <v>57.14</v>
      </c>
      <c r="O14" s="1" t="s">
        <v>188</v>
      </c>
    </row>
    <row r="15" spans="1:18" x14ac:dyDescent="0.3">
      <c r="A15" s="11" t="s">
        <v>87</v>
      </c>
      <c r="B15" s="3" t="s">
        <v>35</v>
      </c>
      <c r="C15" s="3" t="s">
        <v>13</v>
      </c>
      <c r="D15" s="42" t="s">
        <v>130</v>
      </c>
      <c r="E15" s="3"/>
      <c r="F15" s="21" t="b">
        <v>0</v>
      </c>
      <c r="G15" s="21" t="b">
        <v>1</v>
      </c>
      <c r="H15" s="21" t="b">
        <v>1</v>
      </c>
      <c r="I15" s="21" t="b">
        <v>0</v>
      </c>
      <c r="J15" s="21" t="b">
        <v>1</v>
      </c>
      <c r="K15" s="21" t="b">
        <v>1</v>
      </c>
      <c r="L15" s="21" t="b">
        <v>1</v>
      </c>
      <c r="M15" s="1">
        <f t="shared" si="0"/>
        <v>5</v>
      </c>
      <c r="N15" s="1">
        <f>+ROUND((M15/$Q$2)*100,2)</f>
        <v>71.430000000000007</v>
      </c>
      <c r="O15" s="1" t="s">
        <v>189</v>
      </c>
    </row>
    <row r="16" spans="1:18" x14ac:dyDescent="0.3">
      <c r="N16" s="22"/>
      <c r="O16" s="22"/>
    </row>
    <row r="17" spans="8:14" ht="15.6" x14ac:dyDescent="0.3">
      <c r="H17" s="22"/>
      <c r="M17" s="13" t="s">
        <v>190</v>
      </c>
      <c r="N17" s="16">
        <f>+AVERAGEA(N3:N15)</f>
        <v>42.856923076923074</v>
      </c>
    </row>
  </sheetData>
  <mergeCells count="5">
    <mergeCell ref="M1:N1"/>
    <mergeCell ref="F2:K2"/>
    <mergeCell ref="B1:C1"/>
    <mergeCell ref="D1:E1"/>
    <mergeCell ref="Q1:R1"/>
  </mergeCells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c3d0f882-8463-4fc8-8c93-fe9e190ec3f5}" enabled="1" method="Standard" siteId="{7c07b8b6-a28d-424b-8eb6-3de456e898e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Übersicht</vt:lpstr>
      <vt:lpstr>Vorlage</vt:lpstr>
      <vt:lpstr>Auswertung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 Melanie</dc:creator>
  <cp:lastModifiedBy>JANK Melanie</cp:lastModifiedBy>
  <cp:lastPrinted>2026-07-07T07:39:21Z</cp:lastPrinted>
  <dcterms:created xsi:type="dcterms:W3CDTF">2026-06-11T11:00:29Z</dcterms:created>
  <dcterms:modified xsi:type="dcterms:W3CDTF">2026-07-08T08:02:08Z</dcterms:modified>
</cp:coreProperties>
</file>