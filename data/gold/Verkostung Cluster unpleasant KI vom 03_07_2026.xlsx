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roma\Flavor Development\Portfolio Management\K_AI\03_07_2026_Tasty\"/>
    </mc:Choice>
  </mc:AlternateContent>
  <xr:revisionPtr revIDLastSave="0" documentId="13_ncr:1_{B704B524-A821-452F-808C-9E285FC84F6F}" xr6:coauthVersionLast="47" xr6:coauthVersionMax="47" xr10:uidLastSave="{00000000-0000-0000-0000-000000000000}"/>
  <bookViews>
    <workbookView xWindow="-108" yWindow="-108" windowWidth="30936" windowHeight="16776" activeTab="3" xr2:uid="{B8A40B84-3D84-4183-9EB5-2DE685087666}"/>
  </bookViews>
  <sheets>
    <sheet name="Übersicht" sheetId="1" r:id="rId1"/>
    <sheet name="Vorlage" sheetId="2" r:id="rId2"/>
    <sheet name="Auswertung" sheetId="3" r:id="rId3"/>
    <sheet name="Ergebnis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8" i="4" l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4" i="4" l="1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3" i="4"/>
  <c r="K3" i="4" s="1"/>
  <c r="V20" i="3"/>
</calcChain>
</file>

<file path=xl/sharedStrings.xml><?xml version="1.0" encoding="utf-8"?>
<sst xmlns="http://schemas.openxmlformats.org/spreadsheetml/2006/main" count="629" uniqueCount="199">
  <si>
    <t>Ursprungs-Rez.</t>
  </si>
  <si>
    <t>SAP Nr.</t>
  </si>
  <si>
    <t>Status</t>
  </si>
  <si>
    <t>Dosage</t>
  </si>
  <si>
    <t>Note allg</t>
  </si>
  <si>
    <t>Key-Words Übersicht fertige Aromen</t>
  </si>
  <si>
    <t>Cluster vorgegeben</t>
  </si>
  <si>
    <t>Jan Free Sorting</t>
  </si>
  <si>
    <t>Verkostung Notizen</t>
  </si>
  <si>
    <t>N</t>
  </si>
  <si>
    <t>1,000</t>
  </si>
  <si>
    <t>3</t>
  </si>
  <si>
    <t>Karamell</t>
  </si>
  <si>
    <t>warm</t>
  </si>
  <si>
    <t>A</t>
  </si>
  <si>
    <t>0,200</t>
  </si>
  <si>
    <t>2</t>
  </si>
  <si>
    <t>0,300</t>
  </si>
  <si>
    <t>unpleasant</t>
  </si>
  <si>
    <t>187.920</t>
  </si>
  <si>
    <t>187.894</t>
  </si>
  <si>
    <t>Walderdbeere</t>
  </si>
  <si>
    <t>188.976</t>
  </si>
  <si>
    <t>0,500</t>
  </si>
  <si>
    <t>186.179</t>
  </si>
  <si>
    <t>0,400</t>
  </si>
  <si>
    <t>186.396</t>
  </si>
  <si>
    <t>blumig</t>
  </si>
  <si>
    <t>floral</t>
  </si>
  <si>
    <t>Heidelbeere/ Jasmin</t>
  </si>
  <si>
    <t>grün</t>
  </si>
  <si>
    <t>189.014</t>
  </si>
  <si>
    <t>185.046</t>
  </si>
  <si>
    <t>0,600</t>
  </si>
  <si>
    <t>1</t>
  </si>
  <si>
    <t>green</t>
  </si>
  <si>
    <t>185.902</t>
  </si>
  <si>
    <t>185.294</t>
  </si>
  <si>
    <t>dairy</t>
  </si>
  <si>
    <t>0,800</t>
  </si>
  <si>
    <t>188.977</t>
  </si>
  <si>
    <t>185.267</t>
  </si>
  <si>
    <t>Regel</t>
  </si>
  <si>
    <t>29200047</t>
  </si>
  <si>
    <t>überreif, süß, bonbonartig</t>
  </si>
  <si>
    <t>muffig</t>
  </si>
  <si>
    <t>187.246P</t>
  </si>
  <si>
    <t>29201214</t>
  </si>
  <si>
    <t>fruchtig, grün, frisch, reif</t>
  </si>
  <si>
    <t>187.829P</t>
  </si>
  <si>
    <t>29201899</t>
  </si>
  <si>
    <t>grün, saftig, blumig, fruchtig</t>
  </si>
  <si>
    <t>reif/muffig</t>
  </si>
  <si>
    <t>188.560P</t>
  </si>
  <si>
    <t>29202682</t>
  </si>
  <si>
    <t>fruchtig, bonbonartig, frisch, saftig</t>
  </si>
  <si>
    <t>keine eindeutige Regel gefunden</t>
  </si>
  <si>
    <t>185.028</t>
  </si>
  <si>
    <t>fruity</t>
  </si>
  <si>
    <t>reif/ muffig</t>
  </si>
  <si>
    <t>Fred M2 Rule Based</t>
  </si>
  <si>
    <t>Fred M1 Label Propagation</t>
  </si>
  <si>
    <t>Ist das Aroma richtig in dem Cluster?</t>
  </si>
  <si>
    <t>Wenn nein, zu welchem Cluster gehört es?</t>
  </si>
  <si>
    <t>JA</t>
  </si>
  <si>
    <t>NEIN</t>
  </si>
  <si>
    <t>M1 Label Propagation</t>
  </si>
  <si>
    <t>M2 Rule Based</t>
  </si>
  <si>
    <t>Clustering Fred</t>
  </si>
  <si>
    <t>185.237</t>
  </si>
  <si>
    <t>185.507</t>
  </si>
  <si>
    <t>RM</t>
  </si>
  <si>
    <t>185.044</t>
  </si>
  <si>
    <t>185.178</t>
  </si>
  <si>
    <t>187.521</t>
  </si>
  <si>
    <t>187.796</t>
  </si>
  <si>
    <t>186.981</t>
  </si>
  <si>
    <t>188.412</t>
  </si>
  <si>
    <t>187.167</t>
  </si>
  <si>
    <t>187.826</t>
  </si>
  <si>
    <t>187.246</t>
  </si>
  <si>
    <t>187.829</t>
  </si>
  <si>
    <t>188.560</t>
  </si>
  <si>
    <t>187.004</t>
  </si>
  <si>
    <t>185.513</t>
  </si>
  <si>
    <t>188.639</t>
  </si>
  <si>
    <t>Rezept Nr.</t>
  </si>
  <si>
    <t>Auswertung Panel</t>
  </si>
  <si>
    <t>Positive Antworten</t>
  </si>
  <si>
    <t>Prozent %</t>
  </si>
  <si>
    <t>Clustering AJ</t>
  </si>
  <si>
    <t>Ergebnis</t>
  </si>
  <si>
    <t>Anzahl Panelisten</t>
  </si>
  <si>
    <t>187.657P</t>
  </si>
  <si>
    <t>29201733</t>
  </si>
  <si>
    <t>187.773</t>
  </si>
  <si>
    <t>29201867</t>
  </si>
  <si>
    <t>fruchtig, bonbonartig, sahnig, Karamell</t>
  </si>
  <si>
    <t>186.293P</t>
  </si>
  <si>
    <t>1,100</t>
  </si>
  <si>
    <t>exotisch, bonbonartig, grün, buttrig</t>
  </si>
  <si>
    <t>buttrig/ blumig - reif/ muffig</t>
  </si>
  <si>
    <t>187.015P</t>
  </si>
  <si>
    <t>29200870</t>
  </si>
  <si>
    <t>0,350</t>
  </si>
  <si>
    <t>Bestand</t>
  </si>
  <si>
    <t>188.819</t>
  </si>
  <si>
    <t>fruchtig</t>
  </si>
  <si>
    <t>milchig</t>
  </si>
  <si>
    <t>Outlayer</t>
  </si>
  <si>
    <t>185.043P</t>
  </si>
  <si>
    <t>185.339P</t>
  </si>
  <si>
    <t>187.885P</t>
  </si>
  <si>
    <t>185.090P</t>
  </si>
  <si>
    <t>185.741P</t>
  </si>
  <si>
    <t>185.091</t>
  </si>
  <si>
    <t>29200039</t>
  </si>
  <si>
    <t>29201959</t>
  </si>
  <si>
    <t>29201955</t>
  </si>
  <si>
    <t>0,900</t>
  </si>
  <si>
    <t>29201008</t>
  </si>
  <si>
    <t>29201172</t>
  </si>
  <si>
    <t>reif/ muffig - blumig</t>
  </si>
  <si>
    <t>buttrig (Karamell)</t>
  </si>
  <si>
    <t>Karamell/ bonbon - reif/ muffig</t>
  </si>
  <si>
    <t>187.787P</t>
  </si>
  <si>
    <t>187.799P</t>
  </si>
  <si>
    <t>187.843P</t>
  </si>
  <si>
    <t>Walderdbeer</t>
  </si>
  <si>
    <t>muffig/ grün</t>
  </si>
  <si>
    <t>187.923P</t>
  </si>
  <si>
    <t>188.375P</t>
  </si>
  <si>
    <t>185.514</t>
  </si>
  <si>
    <t>185.133</t>
  </si>
  <si>
    <t>186.821</t>
  </si>
  <si>
    <t>187.772</t>
  </si>
  <si>
    <t>29202945</t>
  </si>
  <si>
    <t>0,100</t>
  </si>
  <si>
    <t>29201894</t>
  </si>
  <si>
    <t>0,700</t>
  </si>
  <si>
    <t>29201912</t>
  </si>
  <si>
    <t>29202010</t>
  </si>
  <si>
    <t>29202470</t>
  </si>
  <si>
    <t>0,250</t>
  </si>
  <si>
    <t>29200001</t>
  </si>
  <si>
    <t>29200623</t>
  </si>
  <si>
    <t>29201866</t>
  </si>
  <si>
    <t>Banane, Outlayer</t>
  </si>
  <si>
    <t>Püree</t>
  </si>
  <si>
    <t>evtl Karamell</t>
  </si>
  <si>
    <t>Marmelade, Joghurt</t>
  </si>
  <si>
    <t>fruchtig/ Püree/ marmelade</t>
  </si>
  <si>
    <t>Banane</t>
  </si>
  <si>
    <t>bonbobn/fruchtig</t>
  </si>
  <si>
    <t>Marzipan</t>
  </si>
  <si>
    <t>blumig/exotisch</t>
  </si>
  <si>
    <t>grün/ Melone</t>
  </si>
  <si>
    <t>blumig/saftig</t>
  </si>
  <si>
    <t>Karamell/ Zucker</t>
  </si>
  <si>
    <t>milchig, sahnig/ Banane</t>
  </si>
  <si>
    <t>aber auch warm, cinnamat</t>
  </si>
  <si>
    <t>nasser Hund, animalisch</t>
  </si>
  <si>
    <t>cinnamat</t>
  </si>
  <si>
    <t>fecal</t>
  </si>
  <si>
    <t>Marille, Karamell</t>
  </si>
  <si>
    <t>Pyrazin</t>
  </si>
  <si>
    <t>milchig, Hexansäure</t>
  </si>
  <si>
    <t>etwas grün</t>
  </si>
  <si>
    <t>cinnamat, grün</t>
  </si>
  <si>
    <t>Hexansäue, Bleistift, Hendl</t>
  </si>
  <si>
    <t>milchig, ranzig</t>
  </si>
  <si>
    <t>milchig, cinnamat, floral</t>
  </si>
  <si>
    <t>milchig Hexan</t>
  </si>
  <si>
    <t>Fruchtzwerg, lacton</t>
  </si>
  <si>
    <t>cinnamat Note</t>
  </si>
  <si>
    <t>Outlayer- nussig</t>
  </si>
  <si>
    <t>citrus</t>
  </si>
  <si>
    <t>Gartenerdbeere</t>
  </si>
  <si>
    <t>buttrig</t>
  </si>
  <si>
    <t>P1 Thomas</t>
  </si>
  <si>
    <t>P2 Lisa</t>
  </si>
  <si>
    <t>P3 Alberto</t>
  </si>
  <si>
    <t>P4 Meli</t>
  </si>
  <si>
    <t>P1</t>
  </si>
  <si>
    <t>P2</t>
  </si>
  <si>
    <t>P3</t>
  </si>
  <si>
    <t>P4</t>
  </si>
  <si>
    <t>Karamell/ Warm</t>
  </si>
  <si>
    <t>dairy/ Warm</t>
  </si>
  <si>
    <t>1x grün/ Melone</t>
  </si>
  <si>
    <t>warm, floral</t>
  </si>
  <si>
    <t>floral/ frecal</t>
  </si>
  <si>
    <t>floral, grün</t>
  </si>
  <si>
    <t>Karamell, grün</t>
  </si>
  <si>
    <t>floral/ dairy</t>
  </si>
  <si>
    <t>warm, Püree, dairy</t>
  </si>
  <si>
    <t>Banane, Fruchtzwerg, Outlayer</t>
  </si>
  <si>
    <t>Kommentare</t>
  </si>
  <si>
    <t>Mittelwert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</si>
</sst>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0" fontId="0" fillId="0" borderId="1" xfId="0" applyNumberForma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3" fillId="3" borderId="1" xfId="0" applyNumberFormat="1" applyFont="1" applyFill="1" applyBorder="1" applyAlignment="1" applyProtection="1">
      <alignment horizontal="left"/>
      <protection locked="0"/>
    </xf>
    <xf numFmtId="49" fontId="3" fillId="0" borderId="1" xfId="0" applyNumberFormat="1" applyFont="1" applyBorder="1" applyAlignment="1" applyProtection="1">
      <alignment horizontal="left"/>
      <protection locked="0"/>
    </xf>
    <xf numFmtId="0" fontId="0" fillId="2" borderId="1" xfId="0" applyFill="1" applyBorder="1"/>
    <xf numFmtId="4" fontId="0" fillId="0" borderId="1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7" borderId="1" xfId="0" applyFont="1" applyFill="1" applyBorder="1"/>
    <xf numFmtId="0" fontId="1" fillId="7" borderId="1" xfId="0" applyFont="1" applyFill="1" applyBorder="1"/>
    <xf numFmtId="0" fontId="2" fillId="8" borderId="1" xfId="0" applyFont="1" applyFill="1" applyBorder="1"/>
    <xf numFmtId="0" fontId="1" fillId="8" borderId="1" xfId="0" applyFont="1" applyFill="1" applyBorder="1"/>
    <xf numFmtId="0" fontId="0" fillId="8" borderId="0" xfId="0" applyFill="1"/>
    <xf numFmtId="0" fontId="4" fillId="8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7" borderId="4" xfId="0" applyFont="1" applyFill="1" applyBorder="1"/>
    <xf numFmtId="0" fontId="0" fillId="8" borderId="1" xfId="0" applyFill="1" applyBorder="1"/>
    <xf numFmtId="0" fontId="0" fillId="0" borderId="8" xfId="0" applyBorder="1"/>
    <xf numFmtId="0" fontId="0" fillId="8" borderId="2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 applyProtection="1">
      <alignment horizontal="left"/>
      <protection locked="0"/>
    </xf>
    <xf numFmtId="0" fontId="1" fillId="0" borderId="9" xfId="0" applyFont="1" applyBorder="1"/>
    <xf numFmtId="0" fontId="2" fillId="8" borderId="6" xfId="0" applyFont="1" applyFill="1" applyBorder="1"/>
    <xf numFmtId="0" fontId="1" fillId="8" borderId="6" xfId="0" applyFont="1" applyFill="1" applyBorder="1"/>
    <xf numFmtId="0" fontId="4" fillId="8" borderId="6" xfId="0" applyFont="1" applyFill="1" applyBorder="1"/>
    <xf numFmtId="0" fontId="1" fillId="8" borderId="7" xfId="0" applyFont="1" applyFill="1" applyBorder="1"/>
    <xf numFmtId="0" fontId="0" fillId="8" borderId="6" xfId="0" applyFill="1" applyBorder="1"/>
    <xf numFmtId="0" fontId="2" fillId="0" borderId="10" xfId="0" applyFont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5" xfId="0" applyBorder="1"/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11" borderId="1" xfId="0" applyFill="1" applyBorder="1" applyAlignment="1">
      <alignment horizontal="left"/>
    </xf>
    <xf numFmtId="0" fontId="0" fillId="0" borderId="0" xfId="0" applyBorder="1"/>
    <xf numFmtId="0" fontId="1" fillId="2" borderId="0" xfId="0" applyFont="1" applyFill="1" applyBorder="1"/>
    <xf numFmtId="0" fontId="1" fillId="2" borderId="0" xfId="0" applyFont="1" applyFill="1"/>
    <xf numFmtId="0" fontId="2" fillId="7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CC"/>
      <color rgb="FFFFCC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F0D0-1732-4C95-B20E-AEC5F22380F2}">
  <dimension ref="A1:M25"/>
  <sheetViews>
    <sheetView workbookViewId="0">
      <selection activeCell="H20" sqref="H20:H25"/>
    </sheetView>
  </sheetViews>
  <sheetFormatPr baseColWidth="10" defaultRowHeight="14.4" x14ac:dyDescent="0.3"/>
  <cols>
    <col min="1" max="1" width="16" customWidth="1"/>
    <col min="3" max="3" width="6.6640625" customWidth="1"/>
    <col min="4" max="4" width="7.21875" customWidth="1"/>
    <col min="5" max="5" width="8.88671875" hidden="1" customWidth="1"/>
    <col min="6" max="6" width="36.21875" hidden="1" customWidth="1"/>
    <col min="7" max="7" width="6.5546875" style="30" customWidth="1"/>
    <col min="8" max="9" width="20.44140625" customWidth="1"/>
    <col min="10" max="10" width="23.5546875" customWidth="1"/>
    <col min="11" max="11" width="24.109375" customWidth="1"/>
    <col min="12" max="12" width="67.77734375" hidden="1" customWidth="1"/>
    <col min="13" max="13" width="19" customWidth="1"/>
  </cols>
  <sheetData>
    <row r="1" spans="1:13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8" t="s">
        <v>71</v>
      </c>
      <c r="H1" s="3" t="s">
        <v>6</v>
      </c>
      <c r="I1" s="2" t="s">
        <v>7</v>
      </c>
      <c r="J1" s="2" t="s">
        <v>61</v>
      </c>
      <c r="K1" s="2" t="s">
        <v>60</v>
      </c>
      <c r="L1" s="2" t="s">
        <v>42</v>
      </c>
      <c r="M1" s="32" t="s">
        <v>105</v>
      </c>
    </row>
    <row r="2" spans="1:13" x14ac:dyDescent="0.3">
      <c r="A2" s="13" t="s">
        <v>41</v>
      </c>
      <c r="B2" s="4" t="s">
        <v>43</v>
      </c>
      <c r="C2" s="4" t="s">
        <v>9</v>
      </c>
      <c r="D2" s="4" t="s">
        <v>23</v>
      </c>
      <c r="E2" s="4" t="s">
        <v>11</v>
      </c>
      <c r="F2" s="4" t="s">
        <v>44</v>
      </c>
      <c r="G2" s="29" t="b">
        <v>1</v>
      </c>
      <c r="H2" s="11" t="s">
        <v>45</v>
      </c>
      <c r="I2" s="12" t="s">
        <v>29</v>
      </c>
      <c r="J2" s="4" t="s">
        <v>18</v>
      </c>
      <c r="K2" s="4" t="s">
        <v>18</v>
      </c>
      <c r="L2" s="41" t="s">
        <v>56</v>
      </c>
    </row>
    <row r="3" spans="1:13" x14ac:dyDescent="0.3">
      <c r="A3" s="13" t="s">
        <v>46</v>
      </c>
      <c r="B3" s="4" t="s">
        <v>47</v>
      </c>
      <c r="C3" s="4" t="s">
        <v>9</v>
      </c>
      <c r="D3" s="4" t="s">
        <v>17</v>
      </c>
      <c r="E3" s="4" t="s">
        <v>16</v>
      </c>
      <c r="F3" s="4" t="s">
        <v>48</v>
      </c>
      <c r="G3" s="29" t="b">
        <v>1</v>
      </c>
      <c r="H3" s="6"/>
      <c r="I3" s="4"/>
      <c r="J3" s="4" t="s">
        <v>18</v>
      </c>
      <c r="K3" s="4" t="s">
        <v>13</v>
      </c>
      <c r="L3" s="41"/>
    </row>
    <row r="4" spans="1:13" x14ac:dyDescent="0.3">
      <c r="A4" s="13" t="s">
        <v>49</v>
      </c>
      <c r="B4" s="4" t="s">
        <v>50</v>
      </c>
      <c r="C4" s="4" t="s">
        <v>9</v>
      </c>
      <c r="D4" s="4" t="s">
        <v>23</v>
      </c>
      <c r="E4" s="4" t="s">
        <v>16</v>
      </c>
      <c r="F4" s="4" t="s">
        <v>51</v>
      </c>
      <c r="G4" s="29" t="b">
        <v>1</v>
      </c>
      <c r="H4" s="9" t="s">
        <v>52</v>
      </c>
      <c r="I4" s="4"/>
      <c r="J4" s="4" t="s">
        <v>18</v>
      </c>
      <c r="K4" s="4" t="s">
        <v>18</v>
      </c>
      <c r="L4" s="41"/>
    </row>
    <row r="5" spans="1:13" x14ac:dyDescent="0.3">
      <c r="A5" s="13" t="s">
        <v>53</v>
      </c>
      <c r="B5" s="4" t="s">
        <v>54</v>
      </c>
      <c r="C5" s="4" t="s">
        <v>14</v>
      </c>
      <c r="D5" s="4" t="s">
        <v>25</v>
      </c>
      <c r="E5" s="4" t="s">
        <v>16</v>
      </c>
      <c r="F5" s="4" t="s">
        <v>55</v>
      </c>
      <c r="G5" s="29" t="b">
        <v>1</v>
      </c>
      <c r="H5" s="6" t="s">
        <v>52</v>
      </c>
      <c r="I5" s="4"/>
      <c r="J5" s="4" t="s">
        <v>18</v>
      </c>
      <c r="K5" s="4" t="s">
        <v>18</v>
      </c>
      <c r="L5" s="41"/>
    </row>
    <row r="6" spans="1:13" x14ac:dyDescent="0.3">
      <c r="A6" s="13" t="s">
        <v>95</v>
      </c>
      <c r="B6" s="4" t="s">
        <v>96</v>
      </c>
      <c r="C6" s="4" t="s">
        <v>14</v>
      </c>
      <c r="D6" s="4" t="s">
        <v>39</v>
      </c>
      <c r="E6" s="4" t="s">
        <v>16</v>
      </c>
      <c r="F6" s="4" t="s">
        <v>97</v>
      </c>
      <c r="G6" s="29" t="b">
        <v>1</v>
      </c>
      <c r="H6" s="6"/>
      <c r="I6" s="4"/>
      <c r="J6" s="4" t="s">
        <v>18</v>
      </c>
      <c r="K6" s="4" t="s">
        <v>18</v>
      </c>
      <c r="L6" s="41"/>
    </row>
    <row r="7" spans="1:13" x14ac:dyDescent="0.3">
      <c r="A7" s="13" t="s">
        <v>106</v>
      </c>
      <c r="B7" s="10" t="s">
        <v>136</v>
      </c>
      <c r="C7" s="4"/>
      <c r="D7" s="10" t="s">
        <v>137</v>
      </c>
      <c r="E7" s="4"/>
      <c r="F7" s="4"/>
      <c r="G7" s="29" t="b">
        <v>1</v>
      </c>
      <c r="H7" s="4"/>
      <c r="I7" s="4"/>
      <c r="J7" s="4" t="s">
        <v>13</v>
      </c>
      <c r="K7" s="4" t="s">
        <v>18</v>
      </c>
      <c r="L7" s="41"/>
    </row>
    <row r="8" spans="1:13" x14ac:dyDescent="0.3">
      <c r="A8" s="13" t="s">
        <v>98</v>
      </c>
      <c r="B8" s="4"/>
      <c r="C8" s="4" t="s">
        <v>9</v>
      </c>
      <c r="D8" s="4" t="s">
        <v>99</v>
      </c>
      <c r="E8" s="4" t="s">
        <v>11</v>
      </c>
      <c r="F8" s="4" t="s">
        <v>100</v>
      </c>
      <c r="G8" s="29" t="b">
        <v>1</v>
      </c>
      <c r="H8" s="31" t="s">
        <v>101</v>
      </c>
      <c r="I8" s="4"/>
      <c r="J8" s="4" t="s">
        <v>13</v>
      </c>
      <c r="K8" s="4" t="s">
        <v>18</v>
      </c>
      <c r="L8" s="41"/>
    </row>
    <row r="9" spans="1:13" x14ac:dyDescent="0.3">
      <c r="A9" s="13" t="s">
        <v>102</v>
      </c>
      <c r="B9" s="4" t="s">
        <v>103</v>
      </c>
      <c r="C9" s="4" t="s">
        <v>14</v>
      </c>
      <c r="D9" s="4" t="s">
        <v>104</v>
      </c>
      <c r="E9" s="4" t="s">
        <v>34</v>
      </c>
      <c r="F9" s="4" t="s">
        <v>97</v>
      </c>
      <c r="G9" s="29" t="b">
        <v>1</v>
      </c>
      <c r="H9" s="6"/>
      <c r="I9" s="4"/>
      <c r="J9" s="4" t="s">
        <v>28</v>
      </c>
      <c r="K9" s="4" t="s">
        <v>18</v>
      </c>
      <c r="L9" s="41"/>
    </row>
    <row r="10" spans="1:13" x14ac:dyDescent="0.3">
      <c r="A10" s="13" t="s">
        <v>110</v>
      </c>
      <c r="B10" s="4" t="s">
        <v>116</v>
      </c>
      <c r="C10" s="4" t="s">
        <v>9</v>
      </c>
      <c r="D10" s="4" t="s">
        <v>39</v>
      </c>
      <c r="E10" s="4"/>
      <c r="F10" s="4"/>
      <c r="G10" s="29" t="b">
        <v>1</v>
      </c>
      <c r="H10" s="7" t="s">
        <v>30</v>
      </c>
      <c r="I10" s="4"/>
      <c r="J10" s="4" t="s">
        <v>18</v>
      </c>
      <c r="K10" s="4" t="s">
        <v>18</v>
      </c>
    </row>
    <row r="11" spans="1:13" x14ac:dyDescent="0.3">
      <c r="A11" s="13" t="s">
        <v>111</v>
      </c>
      <c r="B11" s="4" t="s">
        <v>117</v>
      </c>
      <c r="C11" s="4" t="s">
        <v>9</v>
      </c>
      <c r="D11" s="4" t="s">
        <v>10</v>
      </c>
      <c r="E11" s="4"/>
      <c r="F11" s="4"/>
      <c r="G11" s="29" t="b">
        <v>1</v>
      </c>
      <c r="H11" s="7" t="s">
        <v>122</v>
      </c>
      <c r="I11" s="4"/>
      <c r="J11" s="4" t="s">
        <v>18</v>
      </c>
      <c r="K11" s="4" t="s">
        <v>18</v>
      </c>
    </row>
    <row r="12" spans="1:13" x14ac:dyDescent="0.3">
      <c r="A12" s="13" t="s">
        <v>112</v>
      </c>
      <c r="B12" s="4" t="s">
        <v>118</v>
      </c>
      <c r="C12" s="4" t="s">
        <v>14</v>
      </c>
      <c r="D12" s="4" t="s">
        <v>119</v>
      </c>
      <c r="E12" s="4"/>
      <c r="F12" s="4"/>
      <c r="G12" s="29" t="b">
        <v>1</v>
      </c>
      <c r="H12" s="39" t="s">
        <v>123</v>
      </c>
      <c r="I12" s="4"/>
      <c r="J12" s="4" t="s">
        <v>18</v>
      </c>
      <c r="K12" s="4" t="s">
        <v>13</v>
      </c>
    </row>
    <row r="13" spans="1:13" x14ac:dyDescent="0.3">
      <c r="A13" s="13" t="s">
        <v>113</v>
      </c>
      <c r="B13" s="4" t="s">
        <v>120</v>
      </c>
      <c r="C13" s="4" t="s">
        <v>14</v>
      </c>
      <c r="D13" s="4" t="s">
        <v>119</v>
      </c>
      <c r="E13" s="4"/>
      <c r="F13" s="4"/>
      <c r="G13" s="29" t="b">
        <v>1</v>
      </c>
      <c r="H13" s="9" t="s">
        <v>59</v>
      </c>
      <c r="I13" s="8" t="s">
        <v>30</v>
      </c>
      <c r="J13" s="4" t="s">
        <v>18</v>
      </c>
      <c r="K13" s="4" t="s">
        <v>18</v>
      </c>
    </row>
    <row r="14" spans="1:13" x14ac:dyDescent="0.3">
      <c r="A14" s="13" t="s">
        <v>114</v>
      </c>
      <c r="B14" s="4" t="s">
        <v>121</v>
      </c>
      <c r="C14" s="4" t="s">
        <v>14</v>
      </c>
      <c r="D14" s="4" t="s">
        <v>10</v>
      </c>
      <c r="E14" s="4"/>
      <c r="F14" s="4"/>
      <c r="G14" s="29" t="b">
        <v>1</v>
      </c>
      <c r="H14" s="6" t="s">
        <v>124</v>
      </c>
      <c r="I14" s="4"/>
      <c r="J14" s="4" t="s">
        <v>18</v>
      </c>
      <c r="K14" s="4" t="s">
        <v>18</v>
      </c>
    </row>
    <row r="15" spans="1:13" x14ac:dyDescent="0.3">
      <c r="A15" s="13" t="s">
        <v>115</v>
      </c>
      <c r="B15" s="4"/>
      <c r="C15" s="4" t="s">
        <v>9</v>
      </c>
      <c r="D15" s="4" t="s">
        <v>23</v>
      </c>
      <c r="E15" s="4"/>
      <c r="F15" s="4"/>
      <c r="G15" s="29" t="b">
        <v>1</v>
      </c>
      <c r="H15" s="40" t="s">
        <v>12</v>
      </c>
      <c r="I15" s="8" t="s">
        <v>30</v>
      </c>
      <c r="J15" s="4" t="s">
        <v>18</v>
      </c>
      <c r="K15" s="4" t="s">
        <v>18</v>
      </c>
    </row>
    <row r="16" spans="1:13" x14ac:dyDescent="0.3">
      <c r="A16" s="4" t="s">
        <v>93</v>
      </c>
      <c r="B16" s="4" t="s">
        <v>94</v>
      </c>
      <c r="C16" s="4" t="s">
        <v>9</v>
      </c>
      <c r="D16" s="4" t="s">
        <v>15</v>
      </c>
      <c r="E16" s="4"/>
      <c r="F16" s="4"/>
      <c r="G16" s="29" t="b">
        <v>1</v>
      </c>
      <c r="H16" s="9" t="s">
        <v>30</v>
      </c>
      <c r="I16" s="40" t="s">
        <v>30</v>
      </c>
      <c r="J16" s="4" t="s">
        <v>35</v>
      </c>
      <c r="K16" s="4" t="s">
        <v>18</v>
      </c>
    </row>
    <row r="17" spans="1:11" x14ac:dyDescent="0.3">
      <c r="A17" s="4" t="s">
        <v>125</v>
      </c>
      <c r="B17" s="4"/>
      <c r="C17" s="4"/>
      <c r="D17" s="10" t="s">
        <v>15</v>
      </c>
      <c r="E17" s="4"/>
      <c r="F17" s="4"/>
      <c r="G17" s="29" t="b">
        <v>1</v>
      </c>
      <c r="H17" s="40" t="s">
        <v>128</v>
      </c>
      <c r="I17" s="8" t="s">
        <v>129</v>
      </c>
      <c r="J17" s="4" t="s">
        <v>28</v>
      </c>
      <c r="K17" s="4" t="s">
        <v>18</v>
      </c>
    </row>
    <row r="18" spans="1:11" x14ac:dyDescent="0.3">
      <c r="A18" s="4" t="s">
        <v>126</v>
      </c>
      <c r="B18" s="4" t="s">
        <v>138</v>
      </c>
      <c r="C18" s="4" t="s">
        <v>9</v>
      </c>
      <c r="D18" s="4" t="s">
        <v>139</v>
      </c>
      <c r="E18" s="4"/>
      <c r="F18" s="4"/>
      <c r="G18" s="29" t="b">
        <v>1</v>
      </c>
      <c r="H18" s="4"/>
      <c r="I18" s="4"/>
      <c r="J18" s="4" t="s">
        <v>13</v>
      </c>
      <c r="K18" s="4" t="s">
        <v>18</v>
      </c>
    </row>
    <row r="19" spans="1:11" x14ac:dyDescent="0.3">
      <c r="A19" s="4" t="s">
        <v>127</v>
      </c>
      <c r="B19" s="4" t="s">
        <v>140</v>
      </c>
      <c r="C19" s="4" t="s">
        <v>9</v>
      </c>
      <c r="D19" s="4" t="s">
        <v>33</v>
      </c>
      <c r="E19" s="4"/>
      <c r="F19" s="4"/>
      <c r="G19" s="29" t="b">
        <v>1</v>
      </c>
      <c r="H19" s="9" t="s">
        <v>59</v>
      </c>
      <c r="I19" s="4"/>
      <c r="J19" s="4" t="s">
        <v>13</v>
      </c>
      <c r="K19" s="4" t="s">
        <v>18</v>
      </c>
    </row>
    <row r="20" spans="1:11" x14ac:dyDescent="0.3">
      <c r="A20" s="4" t="s">
        <v>130</v>
      </c>
      <c r="B20" s="4" t="s">
        <v>141</v>
      </c>
      <c r="C20" s="4" t="s">
        <v>9</v>
      </c>
      <c r="D20" s="4" t="s">
        <v>23</v>
      </c>
      <c r="E20" s="4"/>
      <c r="F20" s="4"/>
      <c r="G20" s="29" t="b">
        <v>1</v>
      </c>
      <c r="H20" s="6"/>
      <c r="I20" s="4"/>
      <c r="J20" s="4" t="s">
        <v>38</v>
      </c>
      <c r="K20" s="4" t="s">
        <v>18</v>
      </c>
    </row>
    <row r="21" spans="1:11" x14ac:dyDescent="0.3">
      <c r="A21" s="4" t="s">
        <v>131</v>
      </c>
      <c r="B21" s="4" t="s">
        <v>142</v>
      </c>
      <c r="C21" s="4" t="s">
        <v>9</v>
      </c>
      <c r="D21" s="4" t="s">
        <v>33</v>
      </c>
      <c r="E21" s="4"/>
      <c r="F21" s="4"/>
      <c r="G21" s="29" t="b">
        <v>1</v>
      </c>
      <c r="H21" s="9" t="s">
        <v>177</v>
      </c>
      <c r="I21" s="4"/>
      <c r="J21" s="4" t="s">
        <v>28</v>
      </c>
      <c r="K21" s="4" t="s">
        <v>18</v>
      </c>
    </row>
    <row r="22" spans="1:11" x14ac:dyDescent="0.3">
      <c r="A22" s="4" t="s">
        <v>132</v>
      </c>
      <c r="B22" s="4"/>
      <c r="C22" s="4" t="s">
        <v>14</v>
      </c>
      <c r="D22" s="4" t="s">
        <v>143</v>
      </c>
      <c r="E22" s="4"/>
      <c r="F22" s="4"/>
      <c r="G22" s="29" t="b">
        <v>1</v>
      </c>
      <c r="H22" s="4"/>
      <c r="I22" s="4"/>
      <c r="J22" s="4" t="s">
        <v>13</v>
      </c>
      <c r="K22" s="4" t="s">
        <v>18</v>
      </c>
    </row>
    <row r="23" spans="1:11" x14ac:dyDescent="0.3">
      <c r="A23" s="4" t="s">
        <v>133</v>
      </c>
      <c r="B23" s="4" t="s">
        <v>144</v>
      </c>
      <c r="C23" s="4" t="s">
        <v>9</v>
      </c>
      <c r="D23" s="4" t="s">
        <v>10</v>
      </c>
      <c r="E23" s="4"/>
      <c r="F23" s="4"/>
      <c r="G23" s="29" t="b">
        <v>1</v>
      </c>
      <c r="H23" s="55" t="s">
        <v>178</v>
      </c>
      <c r="I23" s="4"/>
      <c r="J23" s="4" t="s">
        <v>13</v>
      </c>
      <c r="K23" s="4" t="s">
        <v>18</v>
      </c>
    </row>
    <row r="24" spans="1:11" x14ac:dyDescent="0.3">
      <c r="A24" s="4" t="s">
        <v>134</v>
      </c>
      <c r="B24" s="4" t="s">
        <v>145</v>
      </c>
      <c r="C24" s="4" t="s">
        <v>9</v>
      </c>
      <c r="D24" s="4" t="s">
        <v>10</v>
      </c>
      <c r="E24" s="4"/>
      <c r="F24" s="4"/>
      <c r="G24" s="29" t="b">
        <v>1</v>
      </c>
      <c r="H24" s="6"/>
      <c r="I24" s="4"/>
      <c r="J24" s="4" t="s">
        <v>13</v>
      </c>
      <c r="K24" s="4" t="s">
        <v>18</v>
      </c>
    </row>
    <row r="25" spans="1:11" x14ac:dyDescent="0.3">
      <c r="A25" s="4" t="s">
        <v>135</v>
      </c>
      <c r="B25" s="4" t="s">
        <v>146</v>
      </c>
      <c r="C25" s="4" t="s">
        <v>9</v>
      </c>
      <c r="D25" s="8">
        <v>0.2</v>
      </c>
      <c r="E25" s="4"/>
      <c r="F25" s="4"/>
      <c r="G25" s="29" t="b">
        <v>1</v>
      </c>
      <c r="H25" s="6"/>
      <c r="I25" s="4"/>
      <c r="J25" s="4" t="s">
        <v>13</v>
      </c>
      <c r="K25" s="4" t="s">
        <v>18</v>
      </c>
    </row>
  </sheetData>
  <pageMargins left="0.25" right="0.1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6616-971F-4A67-B52F-790360D3674C}">
  <dimension ref="A1:H73"/>
  <sheetViews>
    <sheetView workbookViewId="0">
      <selection activeCell="C3" sqref="C3:D26"/>
    </sheetView>
  </sheetViews>
  <sheetFormatPr baseColWidth="10" defaultRowHeight="14.4" x14ac:dyDescent="0.3"/>
  <cols>
    <col min="1" max="1" width="10" customWidth="1"/>
    <col min="2" max="2" width="6.88671875" hidden="1" customWidth="1"/>
    <col min="3" max="3" width="19.77734375" customWidth="1"/>
    <col min="4" max="4" width="14.44140625" customWidth="1"/>
    <col min="5" max="5" width="29.77734375" customWidth="1"/>
    <col min="6" max="6" width="16" customWidth="1"/>
    <col min="7" max="7" width="15.109375" customWidth="1"/>
    <col min="8" max="8" width="35.5546875" customWidth="1"/>
    <col min="14" max="14" width="18" customWidth="1"/>
  </cols>
  <sheetData>
    <row r="1" spans="1:8" ht="15.6" x14ac:dyDescent="0.3">
      <c r="A1" s="15" t="s">
        <v>86</v>
      </c>
      <c r="B1" s="16" t="s">
        <v>3</v>
      </c>
      <c r="C1" s="44" t="s">
        <v>68</v>
      </c>
      <c r="D1" s="45"/>
      <c r="E1" s="16" t="s">
        <v>8</v>
      </c>
      <c r="F1" s="42" t="s">
        <v>62</v>
      </c>
      <c r="G1" s="43"/>
      <c r="H1" s="16" t="s">
        <v>63</v>
      </c>
    </row>
    <row r="2" spans="1:8" s="19" customFormat="1" ht="15.6" x14ac:dyDescent="0.3">
      <c r="A2" s="17"/>
      <c r="B2" s="18"/>
      <c r="C2" s="20" t="s">
        <v>66</v>
      </c>
      <c r="D2" s="20" t="s">
        <v>67</v>
      </c>
      <c r="E2" s="18"/>
      <c r="F2" s="18" t="s">
        <v>64</v>
      </c>
      <c r="G2" s="18" t="s">
        <v>65</v>
      </c>
      <c r="H2" s="18"/>
    </row>
    <row r="3" spans="1:8" x14ac:dyDescent="0.3">
      <c r="A3" s="13" t="s">
        <v>41</v>
      </c>
      <c r="B3" s="4"/>
      <c r="C3" s="4" t="s">
        <v>18</v>
      </c>
      <c r="D3" s="4" t="s">
        <v>18</v>
      </c>
      <c r="E3" s="5"/>
      <c r="F3" s="14" t="b">
        <v>0</v>
      </c>
      <c r="G3" s="14" t="b">
        <v>0</v>
      </c>
      <c r="H3" s="4"/>
    </row>
    <row r="4" spans="1:8" x14ac:dyDescent="0.3">
      <c r="A4" s="13" t="s">
        <v>46</v>
      </c>
      <c r="B4" s="4"/>
      <c r="C4" s="4" t="s">
        <v>18</v>
      </c>
      <c r="D4" s="4" t="s">
        <v>13</v>
      </c>
      <c r="E4" s="4"/>
      <c r="F4" s="23" t="b">
        <v>0</v>
      </c>
      <c r="G4" s="23" t="b">
        <v>0</v>
      </c>
      <c r="H4" s="4"/>
    </row>
    <row r="5" spans="1:8" x14ac:dyDescent="0.3">
      <c r="A5" s="13" t="s">
        <v>49</v>
      </c>
      <c r="B5" s="4"/>
      <c r="C5" s="4" t="s">
        <v>18</v>
      </c>
      <c r="D5" s="4" t="s">
        <v>18</v>
      </c>
      <c r="E5" s="4"/>
      <c r="F5" s="23" t="b">
        <v>0</v>
      </c>
      <c r="G5" s="23" t="b">
        <v>0</v>
      </c>
      <c r="H5" s="4"/>
    </row>
    <row r="6" spans="1:8" x14ac:dyDescent="0.3">
      <c r="A6" s="13" t="s">
        <v>53</v>
      </c>
      <c r="B6" s="4"/>
      <c r="C6" s="4" t="s">
        <v>18</v>
      </c>
      <c r="D6" s="4" t="s">
        <v>18</v>
      </c>
      <c r="E6" s="4"/>
      <c r="F6" s="23" t="b">
        <v>0</v>
      </c>
      <c r="G6" s="23" t="b">
        <v>0</v>
      </c>
      <c r="H6" s="4"/>
    </row>
    <row r="7" spans="1:8" x14ac:dyDescent="0.3">
      <c r="A7" s="13" t="s">
        <v>95</v>
      </c>
      <c r="B7" s="4"/>
      <c r="C7" s="4" t="s">
        <v>18</v>
      </c>
      <c r="D7" s="4" t="s">
        <v>18</v>
      </c>
      <c r="E7" s="4"/>
      <c r="F7" s="23" t="b">
        <v>0</v>
      </c>
      <c r="G7" s="23" t="b">
        <v>0</v>
      </c>
      <c r="H7" s="4"/>
    </row>
    <row r="8" spans="1:8" x14ac:dyDescent="0.3">
      <c r="A8" s="13" t="s">
        <v>106</v>
      </c>
      <c r="B8" s="4"/>
      <c r="C8" s="4" t="s">
        <v>13</v>
      </c>
      <c r="D8" s="4" t="s">
        <v>18</v>
      </c>
      <c r="E8" s="4"/>
      <c r="F8" s="23" t="b">
        <v>0</v>
      </c>
      <c r="G8" s="23" t="b">
        <v>0</v>
      </c>
      <c r="H8" s="4"/>
    </row>
    <row r="9" spans="1:8" x14ac:dyDescent="0.3">
      <c r="A9" s="13" t="s">
        <v>98</v>
      </c>
      <c r="B9" s="4"/>
      <c r="C9" s="4" t="s">
        <v>13</v>
      </c>
      <c r="D9" s="4" t="s">
        <v>18</v>
      </c>
      <c r="E9" s="4"/>
      <c r="F9" s="23" t="b">
        <v>0</v>
      </c>
      <c r="G9" s="23" t="b">
        <v>0</v>
      </c>
      <c r="H9" s="4"/>
    </row>
    <row r="10" spans="1:8" x14ac:dyDescent="0.3">
      <c r="A10" s="13" t="s">
        <v>102</v>
      </c>
      <c r="B10" s="4"/>
      <c r="C10" s="4" t="s">
        <v>28</v>
      </c>
      <c r="D10" s="4" t="s">
        <v>18</v>
      </c>
      <c r="E10" s="4"/>
      <c r="F10" s="23" t="b">
        <v>0</v>
      </c>
      <c r="G10" s="23" t="b">
        <v>0</v>
      </c>
      <c r="H10" s="4"/>
    </row>
    <row r="11" spans="1:8" x14ac:dyDescent="0.3">
      <c r="A11" s="13" t="s">
        <v>110</v>
      </c>
      <c r="B11" s="4"/>
      <c r="C11" s="4" t="s">
        <v>18</v>
      </c>
      <c r="D11" s="4" t="s">
        <v>18</v>
      </c>
      <c r="E11" s="4"/>
      <c r="F11" s="23" t="b">
        <v>0</v>
      </c>
      <c r="G11" s="23" t="b">
        <v>0</v>
      </c>
      <c r="H11" s="4"/>
    </row>
    <row r="12" spans="1:8" x14ac:dyDescent="0.3">
      <c r="A12" s="13" t="s">
        <v>111</v>
      </c>
      <c r="B12" s="10"/>
      <c r="C12" s="4" t="s">
        <v>18</v>
      </c>
      <c r="D12" s="4" t="s">
        <v>18</v>
      </c>
      <c r="E12" s="4"/>
      <c r="F12" s="23" t="b">
        <v>0</v>
      </c>
      <c r="G12" s="23" t="b">
        <v>0</v>
      </c>
      <c r="H12" s="4"/>
    </row>
    <row r="13" spans="1:8" x14ac:dyDescent="0.3">
      <c r="A13" s="13" t="s">
        <v>112</v>
      </c>
      <c r="B13" s="4"/>
      <c r="C13" s="4" t="s">
        <v>18</v>
      </c>
      <c r="D13" s="4" t="s">
        <v>13</v>
      </c>
      <c r="E13" s="4"/>
      <c r="F13" s="23" t="b">
        <v>0</v>
      </c>
      <c r="G13" s="23" t="b">
        <v>0</v>
      </c>
      <c r="H13" s="4"/>
    </row>
    <row r="14" spans="1:8" x14ac:dyDescent="0.3">
      <c r="A14" s="13" t="s">
        <v>113</v>
      </c>
      <c r="B14" s="4"/>
      <c r="C14" s="4" t="s">
        <v>18</v>
      </c>
      <c r="D14" s="4" t="s">
        <v>18</v>
      </c>
      <c r="E14" s="4"/>
      <c r="F14" s="23" t="b">
        <v>0</v>
      </c>
      <c r="G14" s="23" t="b">
        <v>0</v>
      </c>
      <c r="H14" s="4"/>
    </row>
    <row r="15" spans="1:8" x14ac:dyDescent="0.3">
      <c r="A15" s="13" t="s">
        <v>114</v>
      </c>
      <c r="B15" s="4"/>
      <c r="C15" s="4" t="s">
        <v>18</v>
      </c>
      <c r="D15" s="4" t="s">
        <v>18</v>
      </c>
      <c r="E15" s="4"/>
      <c r="F15" s="23" t="b">
        <v>0</v>
      </c>
      <c r="G15" s="23" t="b">
        <v>0</v>
      </c>
      <c r="H15" s="4"/>
    </row>
    <row r="16" spans="1:8" x14ac:dyDescent="0.3">
      <c r="A16" s="13" t="s">
        <v>115</v>
      </c>
      <c r="B16" s="4"/>
      <c r="C16" s="4" t="s">
        <v>18</v>
      </c>
      <c r="D16" s="4" t="s">
        <v>18</v>
      </c>
      <c r="E16" s="4"/>
      <c r="F16" s="23" t="b">
        <v>0</v>
      </c>
      <c r="G16" s="23" t="b">
        <v>0</v>
      </c>
      <c r="H16" s="4"/>
    </row>
    <row r="17" spans="1:8" x14ac:dyDescent="0.3">
      <c r="A17" s="25" t="s">
        <v>93</v>
      </c>
      <c r="B17" s="4"/>
      <c r="C17" s="4" t="s">
        <v>35</v>
      </c>
      <c r="D17" s="4" t="s">
        <v>18</v>
      </c>
      <c r="E17" s="4"/>
      <c r="F17" s="23" t="b">
        <v>0</v>
      </c>
      <c r="G17" s="23" t="b">
        <v>0</v>
      </c>
      <c r="H17" s="4"/>
    </row>
    <row r="18" spans="1:8" x14ac:dyDescent="0.3">
      <c r="A18" s="25" t="s">
        <v>125</v>
      </c>
      <c r="B18" s="10"/>
      <c r="C18" s="4" t="s">
        <v>28</v>
      </c>
      <c r="D18" s="4" t="s">
        <v>18</v>
      </c>
      <c r="E18" s="4"/>
      <c r="F18" s="23" t="b">
        <v>0</v>
      </c>
      <c r="G18" s="23" t="b">
        <v>0</v>
      </c>
      <c r="H18" s="4"/>
    </row>
    <row r="19" spans="1:8" x14ac:dyDescent="0.3">
      <c r="A19" s="25" t="s">
        <v>126</v>
      </c>
      <c r="B19" s="4"/>
      <c r="C19" s="4" t="s">
        <v>13</v>
      </c>
      <c r="D19" s="4" t="s">
        <v>18</v>
      </c>
      <c r="E19" s="4"/>
      <c r="F19" s="23" t="b">
        <v>0</v>
      </c>
      <c r="G19" s="23" t="b">
        <v>0</v>
      </c>
      <c r="H19" s="4"/>
    </row>
    <row r="20" spans="1:8" x14ac:dyDescent="0.3">
      <c r="A20" s="25" t="s">
        <v>127</v>
      </c>
      <c r="B20" s="4"/>
      <c r="C20" s="4" t="s">
        <v>13</v>
      </c>
      <c r="D20" s="4" t="s">
        <v>18</v>
      </c>
      <c r="E20" s="4"/>
      <c r="F20" s="23" t="b">
        <v>0</v>
      </c>
      <c r="G20" s="23" t="b">
        <v>0</v>
      </c>
      <c r="H20" s="4"/>
    </row>
    <row r="21" spans="1:8" x14ac:dyDescent="0.3">
      <c r="A21" s="25" t="s">
        <v>130</v>
      </c>
      <c r="B21" s="4"/>
      <c r="C21" s="4" t="s">
        <v>38</v>
      </c>
      <c r="D21" s="4" t="s">
        <v>18</v>
      </c>
      <c r="E21" s="4"/>
      <c r="F21" s="23" t="b">
        <v>0</v>
      </c>
      <c r="G21" s="23" t="b">
        <v>0</v>
      </c>
      <c r="H21" s="4"/>
    </row>
    <row r="22" spans="1:8" x14ac:dyDescent="0.3">
      <c r="A22" s="25" t="s">
        <v>131</v>
      </c>
      <c r="B22" s="4"/>
      <c r="C22" s="4" t="s">
        <v>28</v>
      </c>
      <c r="D22" s="4" t="s">
        <v>18</v>
      </c>
      <c r="E22" s="4"/>
      <c r="F22" s="23" t="b">
        <v>0</v>
      </c>
      <c r="G22" s="23" t="b">
        <v>0</v>
      </c>
      <c r="H22" s="4"/>
    </row>
    <row r="23" spans="1:8" x14ac:dyDescent="0.3">
      <c r="A23" s="25" t="s">
        <v>132</v>
      </c>
      <c r="B23" s="4"/>
      <c r="C23" s="4" t="s">
        <v>13</v>
      </c>
      <c r="D23" s="4" t="s">
        <v>18</v>
      </c>
      <c r="E23" s="4"/>
      <c r="F23" s="23" t="b">
        <v>0</v>
      </c>
      <c r="G23" s="23" t="b">
        <v>0</v>
      </c>
      <c r="H23" s="4"/>
    </row>
    <row r="24" spans="1:8" x14ac:dyDescent="0.3">
      <c r="A24" s="25" t="s">
        <v>133</v>
      </c>
      <c r="B24" s="4"/>
      <c r="C24" s="4" t="s">
        <v>13</v>
      </c>
      <c r="D24" s="4" t="s">
        <v>18</v>
      </c>
      <c r="E24" s="4"/>
      <c r="F24" s="23" t="b">
        <v>0</v>
      </c>
      <c r="G24" s="23" t="b">
        <v>0</v>
      </c>
      <c r="H24" s="4"/>
    </row>
    <row r="25" spans="1:8" x14ac:dyDescent="0.3">
      <c r="A25" s="25" t="s">
        <v>134</v>
      </c>
      <c r="B25" s="4"/>
      <c r="C25" s="4" t="s">
        <v>13</v>
      </c>
      <c r="D25" s="4" t="s">
        <v>18</v>
      </c>
      <c r="E25" s="4"/>
      <c r="F25" s="23" t="b">
        <v>0</v>
      </c>
      <c r="G25" s="23" t="b">
        <v>0</v>
      </c>
      <c r="H25" s="4"/>
    </row>
    <row r="26" spans="1:8" x14ac:dyDescent="0.3">
      <c r="A26" s="25" t="s">
        <v>135</v>
      </c>
      <c r="B26" s="4"/>
      <c r="C26" s="4" t="s">
        <v>13</v>
      </c>
      <c r="D26" s="4" t="s">
        <v>18</v>
      </c>
      <c r="E26" s="4"/>
      <c r="F26" s="23" t="b">
        <v>0</v>
      </c>
      <c r="G26" s="23" t="b">
        <v>0</v>
      </c>
      <c r="H26" s="4"/>
    </row>
    <row r="46" spans="4:5" ht="33.6" x14ac:dyDescent="0.65">
      <c r="D46" s="21" t="s">
        <v>69</v>
      </c>
      <c r="E46" s="22" t="s">
        <v>13</v>
      </c>
    </row>
    <row r="47" spans="4:5" ht="33.6" x14ac:dyDescent="0.65">
      <c r="D47" s="21" t="s">
        <v>70</v>
      </c>
      <c r="E47" s="22" t="s">
        <v>21</v>
      </c>
    </row>
    <row r="48" spans="4:5" ht="33.6" x14ac:dyDescent="0.65">
      <c r="D48" s="21" t="s">
        <v>72</v>
      </c>
      <c r="E48" s="22" t="s">
        <v>18</v>
      </c>
    </row>
    <row r="49" spans="4:5" ht="33.6" x14ac:dyDescent="0.65">
      <c r="D49" s="21" t="s">
        <v>19</v>
      </c>
      <c r="E49" s="22" t="s">
        <v>35</v>
      </c>
    </row>
    <row r="50" spans="4:5" ht="33.6" x14ac:dyDescent="0.65">
      <c r="D50" s="21" t="s">
        <v>20</v>
      </c>
      <c r="E50" s="22" t="s">
        <v>35</v>
      </c>
    </row>
    <row r="51" spans="4:5" ht="33.6" x14ac:dyDescent="0.65">
      <c r="D51" s="21" t="s">
        <v>22</v>
      </c>
      <c r="E51" s="22" t="s">
        <v>18</v>
      </c>
    </row>
    <row r="52" spans="4:5" ht="33.6" x14ac:dyDescent="0.65">
      <c r="D52" s="21" t="s">
        <v>24</v>
      </c>
      <c r="E52" s="22" t="s">
        <v>58</v>
      </c>
    </row>
    <row r="53" spans="4:5" ht="31.2" x14ac:dyDescent="0.6">
      <c r="D53" s="21" t="s">
        <v>26</v>
      </c>
      <c r="E53" s="21" t="s">
        <v>41</v>
      </c>
    </row>
    <row r="54" spans="4:5" ht="31.2" x14ac:dyDescent="0.6">
      <c r="D54" s="21" t="s">
        <v>75</v>
      </c>
      <c r="E54" s="21" t="s">
        <v>80</v>
      </c>
    </row>
    <row r="55" spans="4:5" ht="31.2" x14ac:dyDescent="0.6">
      <c r="D55" s="21" t="s">
        <v>31</v>
      </c>
      <c r="E55" s="21" t="s">
        <v>81</v>
      </c>
    </row>
    <row r="56" spans="4:5" ht="31.2" x14ac:dyDescent="0.6">
      <c r="D56" s="21" t="s">
        <v>76</v>
      </c>
      <c r="E56" s="21" t="s">
        <v>82</v>
      </c>
    </row>
    <row r="57" spans="4:5" ht="31.2" x14ac:dyDescent="0.6">
      <c r="D57" s="21" t="s">
        <v>32</v>
      </c>
      <c r="E57" s="21" t="s">
        <v>57</v>
      </c>
    </row>
    <row r="58" spans="4:5" ht="31.2" x14ac:dyDescent="0.6">
      <c r="D58" s="21" t="s">
        <v>77</v>
      </c>
      <c r="E58" s="21" t="s">
        <v>83</v>
      </c>
    </row>
    <row r="59" spans="4:5" ht="31.2" x14ac:dyDescent="0.6">
      <c r="D59" s="21" t="s">
        <v>74</v>
      </c>
      <c r="E59" s="21" t="s">
        <v>84</v>
      </c>
    </row>
    <row r="60" spans="4:5" ht="31.2" x14ac:dyDescent="0.6">
      <c r="D60" s="21" t="s">
        <v>36</v>
      </c>
      <c r="E60" s="21" t="s">
        <v>85</v>
      </c>
    </row>
    <row r="61" spans="4:5" ht="31.2" x14ac:dyDescent="0.6">
      <c r="D61" s="21" t="s">
        <v>73</v>
      </c>
    </row>
    <row r="62" spans="4:5" ht="31.2" x14ac:dyDescent="0.6">
      <c r="D62" s="21" t="s">
        <v>37</v>
      </c>
    </row>
    <row r="63" spans="4:5" ht="31.2" x14ac:dyDescent="0.6">
      <c r="D63" s="21" t="s">
        <v>40</v>
      </c>
    </row>
    <row r="64" spans="4:5" ht="31.2" x14ac:dyDescent="0.6">
      <c r="D64" s="21" t="s">
        <v>78</v>
      </c>
    </row>
    <row r="65" spans="4:4" ht="31.2" x14ac:dyDescent="0.6">
      <c r="D65" s="21" t="s">
        <v>79</v>
      </c>
    </row>
    <row r="66" spans="4:4" ht="31.2" x14ac:dyDescent="0.6">
      <c r="D66" s="21"/>
    </row>
    <row r="67" spans="4:4" ht="31.2" x14ac:dyDescent="0.6">
      <c r="D67" s="21"/>
    </row>
    <row r="68" spans="4:4" ht="31.2" x14ac:dyDescent="0.6">
      <c r="D68" s="21"/>
    </row>
    <row r="69" spans="4:4" ht="31.2" x14ac:dyDescent="0.6">
      <c r="D69" s="21"/>
    </row>
    <row r="70" spans="4:4" ht="31.2" x14ac:dyDescent="0.6">
      <c r="D70" s="21"/>
    </row>
    <row r="71" spans="4:4" ht="31.2" x14ac:dyDescent="0.6">
      <c r="D71" s="21"/>
    </row>
    <row r="72" spans="4:4" ht="31.2" x14ac:dyDescent="0.6">
      <c r="D72" s="21"/>
    </row>
    <row r="73" spans="4:4" ht="31.2" x14ac:dyDescent="0.6">
      <c r="D73" s="21"/>
    </row>
  </sheetData>
  <mergeCells count="2">
    <mergeCell ref="F1:G1"/>
    <mergeCell ref="C1:D1"/>
  </mergeCells>
  <pageMargins left="0.22" right="0.1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A4B8-29D8-40D1-9E66-31A138009E7D}">
  <dimension ref="A1:AO66"/>
  <sheetViews>
    <sheetView workbookViewId="0">
      <pane xSplit="2" topLeftCell="C1" activePane="topRight" state="frozen"/>
      <selection pane="topRight" activeCell="A27" sqref="A27:XFD27"/>
    </sheetView>
  </sheetViews>
  <sheetFormatPr baseColWidth="10" defaultRowHeight="14.4" x14ac:dyDescent="0.3"/>
  <cols>
    <col min="1" max="1" width="10.6640625" customWidth="1"/>
    <col min="2" max="2" width="6.88671875" hidden="1" customWidth="1"/>
    <col min="3" max="3" width="19.77734375" customWidth="1"/>
    <col min="4" max="4" width="16.6640625" customWidth="1"/>
    <col min="5" max="5" width="17.88671875" customWidth="1"/>
    <col min="6" max="6" width="16" customWidth="1"/>
    <col min="7" max="7" width="15.109375" customWidth="1"/>
    <col min="8" max="8" width="35.5546875" customWidth="1"/>
    <col min="9" max="10" width="18" customWidth="1"/>
    <col min="12" max="13" width="23.109375" customWidth="1"/>
    <col min="14" max="14" width="14.6640625" customWidth="1"/>
    <col min="15" max="15" width="17.44140625" customWidth="1"/>
    <col min="16" max="16" width="23.109375" customWidth="1"/>
    <col min="17" max="17" width="28" customWidth="1"/>
    <col min="19" max="19" width="14.33203125" customWidth="1"/>
    <col min="20" max="20" width="36.77734375" customWidth="1"/>
    <col min="21" max="21" width="16.6640625" customWidth="1"/>
  </cols>
  <sheetData>
    <row r="1" spans="1:41" x14ac:dyDescent="0.3">
      <c r="E1" s="49" t="s">
        <v>179</v>
      </c>
      <c r="F1" s="49"/>
      <c r="G1" s="49"/>
      <c r="H1" s="49"/>
      <c r="I1" s="47" t="s">
        <v>180</v>
      </c>
      <c r="J1" s="47"/>
      <c r="K1" s="47"/>
      <c r="L1" s="47"/>
      <c r="M1" s="48" t="s">
        <v>181</v>
      </c>
      <c r="N1" s="48"/>
      <c r="O1" s="48"/>
      <c r="P1" s="48"/>
      <c r="Q1" s="46" t="s">
        <v>182</v>
      </c>
      <c r="R1" s="46"/>
      <c r="S1" s="46"/>
      <c r="T1" s="46"/>
      <c r="U1" s="4" t="s">
        <v>87</v>
      </c>
      <c r="V1" s="4">
        <v>7</v>
      </c>
      <c r="W1" s="4"/>
    </row>
    <row r="2" spans="1:41" ht="15.6" x14ac:dyDescent="0.3">
      <c r="A2" s="15" t="s">
        <v>86</v>
      </c>
      <c r="B2" s="16" t="s">
        <v>3</v>
      </c>
      <c r="C2" s="44" t="s">
        <v>68</v>
      </c>
      <c r="D2" s="45"/>
      <c r="E2" s="16" t="s">
        <v>8</v>
      </c>
      <c r="F2" s="42" t="s">
        <v>62</v>
      </c>
      <c r="G2" s="43"/>
      <c r="H2" s="16" t="s">
        <v>63</v>
      </c>
      <c r="I2" s="16" t="s">
        <v>8</v>
      </c>
      <c r="J2" s="42" t="s">
        <v>62</v>
      </c>
      <c r="K2" s="43"/>
      <c r="L2" s="16" t="s">
        <v>63</v>
      </c>
      <c r="M2" s="16" t="s">
        <v>8</v>
      </c>
      <c r="N2" s="42" t="s">
        <v>62</v>
      </c>
      <c r="O2" s="43"/>
      <c r="P2" s="24" t="s">
        <v>63</v>
      </c>
      <c r="Q2" s="16" t="s">
        <v>8</v>
      </c>
      <c r="R2" s="42" t="s">
        <v>62</v>
      </c>
      <c r="S2" s="43"/>
      <c r="T2" s="24" t="s">
        <v>63</v>
      </c>
      <c r="U2" s="4"/>
      <c r="V2" s="4"/>
      <c r="W2" s="4"/>
    </row>
    <row r="3" spans="1:41" s="19" customFormat="1" ht="15.6" x14ac:dyDescent="0.3">
      <c r="A3" s="33"/>
      <c r="B3" s="34"/>
      <c r="C3" s="35" t="s">
        <v>66</v>
      </c>
      <c r="D3" s="35" t="s">
        <v>67</v>
      </c>
      <c r="E3" s="34"/>
      <c r="F3" s="34" t="s">
        <v>64</v>
      </c>
      <c r="G3" s="34" t="s">
        <v>65</v>
      </c>
      <c r="H3" s="34"/>
      <c r="I3" s="34"/>
      <c r="J3" s="34" t="s">
        <v>64</v>
      </c>
      <c r="K3" s="34" t="s">
        <v>65</v>
      </c>
      <c r="L3" s="34"/>
      <c r="M3" s="34"/>
      <c r="N3" s="34" t="s">
        <v>64</v>
      </c>
      <c r="O3" s="34" t="s">
        <v>65</v>
      </c>
      <c r="P3" s="36"/>
      <c r="Q3" s="34"/>
      <c r="R3" s="34" t="s">
        <v>64</v>
      </c>
      <c r="S3" s="34" t="s">
        <v>65</v>
      </c>
      <c r="T3" s="36"/>
      <c r="U3" s="37" t="s">
        <v>88</v>
      </c>
      <c r="V3" s="37" t="s">
        <v>89</v>
      </c>
      <c r="W3" s="37"/>
    </row>
    <row r="4" spans="1:41" x14ac:dyDescent="0.3">
      <c r="A4" s="13" t="s">
        <v>41</v>
      </c>
      <c r="B4" s="4"/>
      <c r="C4" s="4" t="s">
        <v>18</v>
      </c>
      <c r="D4" s="4" t="s">
        <v>18</v>
      </c>
      <c r="E4" s="5"/>
      <c r="F4" s="14" t="b">
        <v>1</v>
      </c>
      <c r="G4" s="14" t="b">
        <v>0</v>
      </c>
      <c r="H4" s="4"/>
      <c r="I4" s="5"/>
      <c r="J4" s="14" t="b">
        <v>1</v>
      </c>
      <c r="K4" s="14" t="b">
        <v>0</v>
      </c>
      <c r="L4" s="4"/>
      <c r="M4" s="5"/>
      <c r="N4" s="14" t="b">
        <v>1</v>
      </c>
      <c r="O4" s="14" t="b">
        <v>0</v>
      </c>
      <c r="P4" s="4"/>
      <c r="Q4" s="5"/>
      <c r="R4" s="14" t="b">
        <v>1</v>
      </c>
      <c r="S4" s="14" t="b">
        <v>0</v>
      </c>
      <c r="T4" s="4"/>
      <c r="U4" s="4"/>
      <c r="V4" s="4"/>
      <c r="W4" s="41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x14ac:dyDescent="0.3">
      <c r="A5" s="13" t="s">
        <v>46</v>
      </c>
      <c r="B5" s="4"/>
      <c r="C5" s="4" t="s">
        <v>18</v>
      </c>
      <c r="D5" s="4" t="s">
        <v>13</v>
      </c>
      <c r="E5" s="4"/>
      <c r="F5" s="14" t="b">
        <v>1</v>
      </c>
      <c r="G5" s="14" t="b">
        <v>0</v>
      </c>
      <c r="H5" s="4"/>
      <c r="I5" s="4"/>
      <c r="J5" s="14" t="b">
        <v>1</v>
      </c>
      <c r="K5" s="14" t="b">
        <v>0</v>
      </c>
      <c r="L5" s="4"/>
      <c r="M5" s="5"/>
      <c r="N5" s="14" t="b">
        <v>1</v>
      </c>
      <c r="O5" s="14" t="b">
        <v>0</v>
      </c>
      <c r="P5" s="4" t="s">
        <v>45</v>
      </c>
      <c r="Q5" s="4" t="s">
        <v>160</v>
      </c>
      <c r="R5" s="14" t="b">
        <v>1</v>
      </c>
      <c r="S5" s="14" t="b">
        <v>0</v>
      </c>
      <c r="T5" s="4" t="s">
        <v>174</v>
      </c>
      <c r="U5" s="4"/>
      <c r="V5" s="4"/>
      <c r="W5" s="41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x14ac:dyDescent="0.3">
      <c r="A6" s="13" t="s">
        <v>49</v>
      </c>
      <c r="B6" s="4"/>
      <c r="C6" s="4" t="s">
        <v>18</v>
      </c>
      <c r="D6" s="4" t="s">
        <v>18</v>
      </c>
      <c r="E6" s="4"/>
      <c r="F6" s="14" t="b">
        <v>1</v>
      </c>
      <c r="G6" s="14" t="b">
        <v>0</v>
      </c>
      <c r="H6" s="4"/>
      <c r="I6" s="4"/>
      <c r="J6" s="14" t="b">
        <v>1</v>
      </c>
      <c r="K6" s="14" t="b">
        <v>0</v>
      </c>
      <c r="L6" s="4"/>
      <c r="M6" s="4"/>
      <c r="N6" s="14" t="b">
        <v>1</v>
      </c>
      <c r="O6" s="14" t="b">
        <v>0</v>
      </c>
      <c r="P6" s="4" t="s">
        <v>45</v>
      </c>
      <c r="Q6" s="4" t="s">
        <v>161</v>
      </c>
      <c r="R6" s="14" t="b">
        <v>1</v>
      </c>
      <c r="S6" s="14" t="b">
        <v>0</v>
      </c>
      <c r="T6" s="4"/>
      <c r="U6" s="4"/>
      <c r="V6" s="4"/>
      <c r="W6" s="41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 s="26" customFormat="1" ht="15" thickBot="1" x14ac:dyDescent="0.35">
      <c r="A7" s="13" t="s">
        <v>53</v>
      </c>
      <c r="B7" s="4"/>
      <c r="C7" s="4" t="s">
        <v>18</v>
      </c>
      <c r="D7" s="4" t="s">
        <v>18</v>
      </c>
      <c r="E7" s="4"/>
      <c r="F7" s="14" t="b">
        <v>1</v>
      </c>
      <c r="G7" s="14" t="b">
        <v>0</v>
      </c>
      <c r="H7" s="4"/>
      <c r="I7" s="4"/>
      <c r="J7" s="14" t="b">
        <v>1</v>
      </c>
      <c r="K7" s="14" t="b">
        <v>0</v>
      </c>
      <c r="L7" s="4"/>
      <c r="M7" s="4"/>
      <c r="N7" s="14" t="b">
        <v>1</v>
      </c>
      <c r="O7" s="14" t="b">
        <v>0</v>
      </c>
      <c r="P7" s="4"/>
      <c r="Q7" s="4" t="s">
        <v>162</v>
      </c>
      <c r="R7" s="14" t="b">
        <v>0</v>
      </c>
      <c r="S7" s="14" t="b">
        <v>1</v>
      </c>
      <c r="T7" s="4" t="s">
        <v>13</v>
      </c>
      <c r="U7" s="4"/>
      <c r="V7" s="4"/>
      <c r="W7" s="41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 x14ac:dyDescent="0.3">
      <c r="A8" s="13" t="s">
        <v>95</v>
      </c>
      <c r="B8" s="4"/>
      <c r="C8" s="4" t="s">
        <v>18</v>
      </c>
      <c r="D8" s="4" t="s">
        <v>18</v>
      </c>
      <c r="E8" s="4"/>
      <c r="F8" s="14" t="b">
        <v>1</v>
      </c>
      <c r="G8" s="14" t="b">
        <v>0</v>
      </c>
      <c r="H8" s="4"/>
      <c r="I8" s="4" t="s">
        <v>30</v>
      </c>
      <c r="J8" s="14" t="b">
        <v>1</v>
      </c>
      <c r="K8" s="14" t="b">
        <v>0</v>
      </c>
      <c r="L8" s="4"/>
      <c r="M8" s="4"/>
      <c r="N8" s="14" t="b">
        <v>0</v>
      </c>
      <c r="O8" s="14" t="b">
        <v>1</v>
      </c>
      <c r="P8" s="4" t="s">
        <v>27</v>
      </c>
      <c r="Q8" s="4" t="s">
        <v>163</v>
      </c>
      <c r="R8" s="14" t="b">
        <v>1</v>
      </c>
      <c r="S8" s="14" t="b">
        <v>0</v>
      </c>
      <c r="T8" s="4"/>
      <c r="U8" s="4"/>
      <c r="V8" s="4"/>
      <c r="W8" s="41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 x14ac:dyDescent="0.3">
      <c r="A9" s="13" t="s">
        <v>106</v>
      </c>
      <c r="B9" s="4"/>
      <c r="C9" s="4" t="s">
        <v>13</v>
      </c>
      <c r="D9" s="4" t="s">
        <v>18</v>
      </c>
      <c r="E9" s="4"/>
      <c r="F9" s="14" t="b">
        <v>1</v>
      </c>
      <c r="G9" s="14" t="b">
        <v>0</v>
      </c>
      <c r="H9" s="4"/>
      <c r="I9" s="4" t="s">
        <v>149</v>
      </c>
      <c r="J9" s="14" t="b">
        <v>0</v>
      </c>
      <c r="K9" s="14" t="b">
        <v>1</v>
      </c>
      <c r="L9" s="4" t="s">
        <v>13</v>
      </c>
      <c r="M9" s="4"/>
      <c r="N9" s="14" t="b">
        <v>0</v>
      </c>
      <c r="O9" s="14" t="b">
        <v>1</v>
      </c>
      <c r="P9" s="4" t="s">
        <v>153</v>
      </c>
      <c r="Q9" s="4" t="s">
        <v>12</v>
      </c>
      <c r="R9" s="14" t="b">
        <v>0</v>
      </c>
      <c r="S9" s="14" t="b">
        <v>1</v>
      </c>
      <c r="T9" s="4" t="s">
        <v>13</v>
      </c>
      <c r="U9" s="4"/>
      <c r="V9" s="4"/>
      <c r="W9" s="41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 x14ac:dyDescent="0.3">
      <c r="A10" s="13" t="s">
        <v>98</v>
      </c>
      <c r="B10" s="4"/>
      <c r="C10" s="4" t="s">
        <v>13</v>
      </c>
      <c r="D10" s="4" t="s">
        <v>18</v>
      </c>
      <c r="E10" s="4"/>
      <c r="F10" s="14" t="b">
        <v>1</v>
      </c>
      <c r="G10" s="14" t="b">
        <v>0</v>
      </c>
      <c r="H10" s="4"/>
      <c r="I10" s="4" t="s">
        <v>150</v>
      </c>
      <c r="J10" s="14" t="b">
        <v>0</v>
      </c>
      <c r="K10" s="14" t="b">
        <v>1</v>
      </c>
      <c r="L10" s="4" t="s">
        <v>38</v>
      </c>
      <c r="M10" s="4"/>
      <c r="N10" s="14" t="b">
        <v>1</v>
      </c>
      <c r="O10" s="14" t="b">
        <v>0</v>
      </c>
      <c r="P10" s="4" t="s">
        <v>18</v>
      </c>
      <c r="Q10" s="4" t="s">
        <v>164</v>
      </c>
      <c r="R10" s="14" t="b">
        <v>0</v>
      </c>
      <c r="S10" s="14" t="b">
        <v>1</v>
      </c>
      <c r="T10" s="4" t="s">
        <v>109</v>
      </c>
      <c r="U10" s="4"/>
      <c r="V10" s="4"/>
      <c r="W10" s="41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 s="26" customFormat="1" ht="15" thickBot="1" x14ac:dyDescent="0.35">
      <c r="A11" s="13" t="s">
        <v>102</v>
      </c>
      <c r="B11" s="4"/>
      <c r="C11" s="4" t="s">
        <v>28</v>
      </c>
      <c r="D11" s="4" t="s">
        <v>18</v>
      </c>
      <c r="E11" s="4"/>
      <c r="F11" s="14" t="b">
        <v>1</v>
      </c>
      <c r="G11" s="14" t="b">
        <v>0</v>
      </c>
      <c r="H11" s="4"/>
      <c r="I11" s="4"/>
      <c r="J11" s="14" t="b">
        <v>1</v>
      </c>
      <c r="K11" s="14" t="b">
        <v>0</v>
      </c>
      <c r="L11" s="4"/>
      <c r="M11" s="4"/>
      <c r="N11" s="14" t="b">
        <v>1</v>
      </c>
      <c r="O11" s="14" t="b">
        <v>0</v>
      </c>
      <c r="P11" s="4" t="s">
        <v>154</v>
      </c>
      <c r="Q11" s="4"/>
      <c r="R11" s="14" t="b">
        <v>0</v>
      </c>
      <c r="S11" s="14" t="b">
        <v>1</v>
      </c>
      <c r="T11" s="4" t="s">
        <v>28</v>
      </c>
      <c r="U11" s="4"/>
      <c r="V11" s="4"/>
      <c r="W11" s="53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 x14ac:dyDescent="0.3">
      <c r="A12" s="13" t="s">
        <v>110</v>
      </c>
      <c r="B12" s="4"/>
      <c r="C12" s="4" t="s">
        <v>18</v>
      </c>
      <c r="D12" s="4" t="s">
        <v>18</v>
      </c>
      <c r="E12" s="4"/>
      <c r="F12" s="14" t="b">
        <v>1</v>
      </c>
      <c r="G12" s="14" t="b">
        <v>0</v>
      </c>
      <c r="H12" s="4"/>
      <c r="I12" s="4" t="s">
        <v>28</v>
      </c>
      <c r="J12" s="14" t="b">
        <v>1</v>
      </c>
      <c r="K12" s="14" t="b">
        <v>0</v>
      </c>
      <c r="L12" s="4"/>
      <c r="M12" s="4"/>
      <c r="N12" s="14" t="b">
        <v>0</v>
      </c>
      <c r="O12" s="14" t="b">
        <v>1</v>
      </c>
      <c r="P12" s="4" t="s">
        <v>155</v>
      </c>
      <c r="Q12" s="4" t="s">
        <v>165</v>
      </c>
      <c r="R12" s="14" t="b">
        <v>0</v>
      </c>
      <c r="S12" s="14" t="b">
        <v>1</v>
      </c>
      <c r="T12" s="4" t="s">
        <v>175</v>
      </c>
      <c r="U12" s="4"/>
      <c r="V12" s="4"/>
      <c r="W12" s="5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x14ac:dyDescent="0.3">
      <c r="A13" s="13" t="s">
        <v>111</v>
      </c>
      <c r="B13" s="10"/>
      <c r="C13" s="4" t="s">
        <v>18</v>
      </c>
      <c r="D13" s="4" t="s">
        <v>18</v>
      </c>
      <c r="E13" s="4"/>
      <c r="F13" s="14" t="b">
        <v>1</v>
      </c>
      <c r="G13" s="14" t="b">
        <v>0</v>
      </c>
      <c r="H13" s="4"/>
      <c r="I13" s="4"/>
      <c r="J13" s="14" t="b">
        <v>1</v>
      </c>
      <c r="K13" s="14" t="b">
        <v>0</v>
      </c>
      <c r="L13" s="4"/>
      <c r="M13" s="4"/>
      <c r="N13" s="14" t="b">
        <v>1</v>
      </c>
      <c r="O13" s="14" t="b">
        <v>0</v>
      </c>
      <c r="P13" s="4"/>
      <c r="Q13" s="4"/>
      <c r="R13" s="14" t="b">
        <v>1</v>
      </c>
      <c r="S13" s="14" t="b">
        <v>0</v>
      </c>
      <c r="T13" s="4"/>
      <c r="U13" s="4"/>
      <c r="V13" s="4"/>
      <c r="W13" s="41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x14ac:dyDescent="0.3">
      <c r="A14" s="13" t="s">
        <v>112</v>
      </c>
      <c r="B14" s="4"/>
      <c r="C14" s="4" t="s">
        <v>18</v>
      </c>
      <c r="D14" s="4" t="s">
        <v>13</v>
      </c>
      <c r="E14" s="4"/>
      <c r="F14" s="14" t="b">
        <v>1</v>
      </c>
      <c r="G14" s="14" t="b">
        <v>0</v>
      </c>
      <c r="H14" s="4"/>
      <c r="I14" s="4" t="s">
        <v>38</v>
      </c>
      <c r="J14" s="14" t="b">
        <v>1</v>
      </c>
      <c r="K14" s="14" t="b">
        <v>0</v>
      </c>
      <c r="L14" s="4"/>
      <c r="M14" s="4"/>
      <c r="N14" s="14" t="b">
        <v>1</v>
      </c>
      <c r="O14" s="14" t="b">
        <v>0</v>
      </c>
      <c r="P14" s="4"/>
      <c r="Q14" s="4"/>
      <c r="R14" s="14" t="b">
        <v>1</v>
      </c>
      <c r="S14" s="14" t="b">
        <v>0</v>
      </c>
      <c r="T14" s="4"/>
      <c r="U14" s="4"/>
      <c r="V14" s="4"/>
      <c r="W14" s="41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1" s="26" customFormat="1" ht="15" thickBot="1" x14ac:dyDescent="0.35">
      <c r="A15" s="13" t="s">
        <v>113</v>
      </c>
      <c r="B15" s="4"/>
      <c r="C15" s="4" t="s">
        <v>18</v>
      </c>
      <c r="D15" s="4" t="s">
        <v>18</v>
      </c>
      <c r="E15" s="4"/>
      <c r="F15" s="14" t="b">
        <v>1</v>
      </c>
      <c r="G15" s="14" t="b">
        <v>0</v>
      </c>
      <c r="H15" s="4"/>
      <c r="I15" s="4"/>
      <c r="J15" s="14" t="b">
        <v>1</v>
      </c>
      <c r="K15" s="14" t="b">
        <v>0</v>
      </c>
      <c r="L15" s="4"/>
      <c r="M15" s="4"/>
      <c r="N15" s="14" t="b">
        <v>0</v>
      </c>
      <c r="O15" s="14" t="b">
        <v>1</v>
      </c>
      <c r="P15" s="4" t="s">
        <v>156</v>
      </c>
      <c r="Q15" s="4" t="s">
        <v>166</v>
      </c>
      <c r="R15" s="14" t="b">
        <v>1</v>
      </c>
      <c r="S15" s="14" t="b">
        <v>0</v>
      </c>
      <c r="T15" s="4"/>
      <c r="U15" s="4"/>
      <c r="V15" s="4"/>
      <c r="W15" s="41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 x14ac:dyDescent="0.3">
      <c r="A16" s="13" t="s">
        <v>114</v>
      </c>
      <c r="B16" s="4"/>
      <c r="C16" s="4" t="s">
        <v>18</v>
      </c>
      <c r="D16" s="4" t="s">
        <v>18</v>
      </c>
      <c r="E16" s="4"/>
      <c r="F16" s="14" t="b">
        <v>0</v>
      </c>
      <c r="G16" s="14" t="b">
        <v>1</v>
      </c>
      <c r="H16" s="4" t="s">
        <v>13</v>
      </c>
      <c r="I16" s="4" t="s">
        <v>107</v>
      </c>
      <c r="J16" s="14" t="b">
        <v>1</v>
      </c>
      <c r="K16" s="14" t="b">
        <v>0</v>
      </c>
      <c r="L16" s="4"/>
      <c r="M16" s="4"/>
      <c r="N16" s="14" t="b">
        <v>0</v>
      </c>
      <c r="O16" s="14" t="b">
        <v>1</v>
      </c>
      <c r="P16" s="4" t="s">
        <v>27</v>
      </c>
      <c r="Q16" s="4" t="s">
        <v>162</v>
      </c>
      <c r="R16" s="14" t="b">
        <v>0</v>
      </c>
      <c r="S16" s="14" t="b">
        <v>1</v>
      </c>
      <c r="T16" s="4" t="s">
        <v>13</v>
      </c>
      <c r="U16" s="4"/>
      <c r="V16" s="4"/>
      <c r="W16" s="41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 x14ac:dyDescent="0.3">
      <c r="A17" s="13" t="s">
        <v>115</v>
      </c>
      <c r="B17" s="4"/>
      <c r="C17" s="4" t="s">
        <v>18</v>
      </c>
      <c r="D17" s="4" t="s">
        <v>18</v>
      </c>
      <c r="E17" s="4"/>
      <c r="F17" s="14" t="b">
        <v>1</v>
      </c>
      <c r="G17" s="14" t="b">
        <v>0</v>
      </c>
      <c r="H17" s="4"/>
      <c r="I17" s="4"/>
      <c r="J17" s="14" t="b">
        <v>1</v>
      </c>
      <c r="K17" s="14" t="b">
        <v>0</v>
      </c>
      <c r="L17" s="4"/>
      <c r="M17" s="4"/>
      <c r="N17" s="14" t="b">
        <v>0</v>
      </c>
      <c r="O17" s="14" t="b">
        <v>1</v>
      </c>
      <c r="P17" s="4" t="s">
        <v>157</v>
      </c>
      <c r="Q17" s="4" t="s">
        <v>167</v>
      </c>
      <c r="R17" s="14" t="b">
        <v>1</v>
      </c>
      <c r="S17" s="14" t="b">
        <v>0</v>
      </c>
      <c r="T17" s="4"/>
      <c r="U17" s="4"/>
      <c r="V17" s="4"/>
      <c r="W17" s="41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x14ac:dyDescent="0.3">
      <c r="A18" s="25" t="s">
        <v>93</v>
      </c>
      <c r="B18" s="4"/>
      <c r="C18" s="4" t="s">
        <v>35</v>
      </c>
      <c r="D18" s="4" t="s">
        <v>18</v>
      </c>
      <c r="E18" s="4"/>
      <c r="F18" s="14" t="b">
        <v>0</v>
      </c>
      <c r="G18" s="14" t="b">
        <v>0</v>
      </c>
      <c r="H18" s="4"/>
      <c r="I18" s="4"/>
      <c r="J18" s="14" t="b">
        <v>1</v>
      </c>
      <c r="K18" s="14" t="b">
        <v>0</v>
      </c>
      <c r="L18" s="4"/>
      <c r="M18" s="4"/>
      <c r="N18" s="14" t="b">
        <v>0</v>
      </c>
      <c r="O18" s="14" t="b">
        <v>1</v>
      </c>
      <c r="P18" s="4" t="s">
        <v>158</v>
      </c>
      <c r="Q18" s="4" t="s">
        <v>168</v>
      </c>
      <c r="R18" s="14" t="b">
        <v>0</v>
      </c>
      <c r="S18" s="14" t="b">
        <v>1</v>
      </c>
      <c r="T18" s="4" t="s">
        <v>30</v>
      </c>
      <c r="U18" s="4"/>
      <c r="V18" s="4"/>
      <c r="W18" s="41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s="26" customFormat="1" ht="15" thickBot="1" x14ac:dyDescent="0.35">
      <c r="A19" s="25" t="s">
        <v>125</v>
      </c>
      <c r="B19" s="4"/>
      <c r="C19" s="4" t="s">
        <v>28</v>
      </c>
      <c r="D19" s="4" t="s">
        <v>18</v>
      </c>
      <c r="E19" s="4"/>
      <c r="F19" s="14" t="b">
        <v>0</v>
      </c>
      <c r="G19" s="14" t="b">
        <v>1</v>
      </c>
      <c r="H19" s="4" t="s">
        <v>38</v>
      </c>
      <c r="I19" s="4" t="s">
        <v>28</v>
      </c>
      <c r="J19" s="14" t="b">
        <v>0</v>
      </c>
      <c r="K19" s="14" t="b">
        <v>1</v>
      </c>
      <c r="L19" s="4" t="s">
        <v>28</v>
      </c>
      <c r="M19" s="4"/>
      <c r="N19" s="14" t="b">
        <v>0</v>
      </c>
      <c r="O19" s="14" t="b">
        <v>1</v>
      </c>
      <c r="P19" s="4" t="s">
        <v>107</v>
      </c>
      <c r="Q19" s="4"/>
      <c r="R19" s="14" t="b">
        <v>0</v>
      </c>
      <c r="S19" s="14" t="b">
        <v>1</v>
      </c>
      <c r="T19" s="4" t="s">
        <v>28</v>
      </c>
      <c r="U19" s="4"/>
      <c r="V19" s="4"/>
      <c r="W19" s="41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x14ac:dyDescent="0.3">
      <c r="A20" s="25" t="s">
        <v>126</v>
      </c>
      <c r="B20" s="4"/>
      <c r="C20" s="4" t="s">
        <v>13</v>
      </c>
      <c r="D20" s="4" t="s">
        <v>18</v>
      </c>
      <c r="E20" s="4"/>
      <c r="F20" s="14" t="b">
        <v>1</v>
      </c>
      <c r="G20" s="14" t="b">
        <v>0</v>
      </c>
      <c r="H20" s="4"/>
      <c r="I20" s="4"/>
      <c r="J20" s="14" t="b">
        <v>0</v>
      </c>
      <c r="K20" s="14" t="b">
        <v>1</v>
      </c>
      <c r="L20" s="4" t="s">
        <v>13</v>
      </c>
      <c r="M20" s="4"/>
      <c r="N20" s="14" t="b">
        <v>1</v>
      </c>
      <c r="O20" s="14" t="b">
        <v>0</v>
      </c>
      <c r="P20" s="4"/>
      <c r="Q20" s="4" t="s">
        <v>169</v>
      </c>
      <c r="R20" s="14" t="b">
        <v>1</v>
      </c>
      <c r="S20" s="14" t="b">
        <v>0</v>
      </c>
      <c r="T20" s="4"/>
      <c r="U20" s="4"/>
      <c r="V20" s="2" t="e">
        <f>+AVERAGE(V4:V19)</f>
        <v>#DIV/0!</v>
      </c>
    </row>
    <row r="21" spans="1:41" x14ac:dyDescent="0.3">
      <c r="A21" s="25" t="s">
        <v>127</v>
      </c>
      <c r="B21" s="4"/>
      <c r="C21" s="4" t="s">
        <v>13</v>
      </c>
      <c r="D21" s="4" t="s">
        <v>18</v>
      </c>
      <c r="E21" s="4"/>
      <c r="F21" s="14" t="b">
        <v>1</v>
      </c>
      <c r="G21" s="14" t="b">
        <v>0</v>
      </c>
      <c r="H21" s="4"/>
      <c r="I21" s="4" t="s">
        <v>107</v>
      </c>
      <c r="J21" s="14" t="b">
        <v>1</v>
      </c>
      <c r="K21" s="14" t="b">
        <v>0</v>
      </c>
      <c r="L21" s="4"/>
      <c r="M21" s="4"/>
      <c r="N21" s="14" t="b">
        <v>1</v>
      </c>
      <c r="O21" s="14" t="b">
        <v>0</v>
      </c>
      <c r="P21" s="4"/>
      <c r="Q21" s="4" t="s">
        <v>170</v>
      </c>
      <c r="R21" s="14" t="b">
        <v>0</v>
      </c>
      <c r="S21" s="14" t="b">
        <v>1</v>
      </c>
      <c r="T21" s="4" t="s">
        <v>176</v>
      </c>
      <c r="U21" s="4"/>
      <c r="V21" s="4"/>
    </row>
    <row r="22" spans="1:41" x14ac:dyDescent="0.3">
      <c r="A22" s="25" t="s">
        <v>130</v>
      </c>
      <c r="B22" s="4"/>
      <c r="C22" s="4" t="s">
        <v>38</v>
      </c>
      <c r="D22" s="4" t="s">
        <v>18</v>
      </c>
      <c r="E22" s="4"/>
      <c r="F22" s="14" t="b">
        <v>1</v>
      </c>
      <c r="G22" s="14" t="b">
        <v>0</v>
      </c>
      <c r="H22" s="4"/>
      <c r="I22" s="4"/>
      <c r="J22" s="14" t="b">
        <v>1</v>
      </c>
      <c r="K22" s="14" t="b">
        <v>0</v>
      </c>
      <c r="L22" s="4"/>
      <c r="M22" s="4"/>
      <c r="N22" s="14" t="b">
        <v>1</v>
      </c>
      <c r="O22" s="14" t="b">
        <v>0</v>
      </c>
      <c r="P22" s="4"/>
      <c r="Q22" s="4"/>
      <c r="R22" s="14" t="b">
        <v>1</v>
      </c>
      <c r="S22" s="14" t="b">
        <v>0</v>
      </c>
      <c r="T22" s="4"/>
      <c r="U22" s="4"/>
      <c r="V22" s="4"/>
    </row>
    <row r="23" spans="1:41" x14ac:dyDescent="0.3">
      <c r="A23" s="25" t="s">
        <v>131</v>
      </c>
      <c r="B23" s="4"/>
      <c r="C23" s="4" t="s">
        <v>28</v>
      </c>
      <c r="D23" s="4" t="s">
        <v>18</v>
      </c>
      <c r="E23" s="4"/>
      <c r="F23" s="14" t="b">
        <v>1</v>
      </c>
      <c r="G23" s="14" t="b">
        <v>0</v>
      </c>
      <c r="H23" s="4"/>
      <c r="I23" s="4"/>
      <c r="J23" s="14" t="b">
        <v>1</v>
      </c>
      <c r="K23" s="14" t="b">
        <v>0</v>
      </c>
      <c r="L23" s="4"/>
      <c r="M23" s="4"/>
      <c r="N23" s="14" t="b">
        <v>1</v>
      </c>
      <c r="O23" s="14" t="b">
        <v>0</v>
      </c>
      <c r="P23" s="4"/>
      <c r="Q23" s="4"/>
      <c r="R23" s="14" t="b">
        <v>0</v>
      </c>
      <c r="S23" s="14" t="b">
        <v>1</v>
      </c>
      <c r="T23" s="4" t="s">
        <v>28</v>
      </c>
      <c r="U23" s="4"/>
      <c r="V23" s="4"/>
    </row>
    <row r="24" spans="1:41" x14ac:dyDescent="0.3">
      <c r="A24" s="25" t="s">
        <v>132</v>
      </c>
      <c r="B24" s="4"/>
      <c r="C24" s="4" t="s">
        <v>13</v>
      </c>
      <c r="D24" s="4" t="s">
        <v>18</v>
      </c>
      <c r="E24" s="4"/>
      <c r="F24" s="14" t="b">
        <v>1</v>
      </c>
      <c r="G24" s="14" t="b">
        <v>0</v>
      </c>
      <c r="H24" s="4"/>
      <c r="I24" s="4" t="s">
        <v>151</v>
      </c>
      <c r="J24" s="14" t="b">
        <v>0</v>
      </c>
      <c r="K24" s="14" t="b">
        <v>1</v>
      </c>
      <c r="L24" s="4" t="s">
        <v>148</v>
      </c>
      <c r="M24" s="4"/>
      <c r="N24" s="14" t="b">
        <v>1</v>
      </c>
      <c r="O24" s="14" t="b">
        <v>0</v>
      </c>
      <c r="P24" s="4"/>
      <c r="Q24" s="4" t="s">
        <v>171</v>
      </c>
      <c r="R24" s="14" t="b">
        <v>0</v>
      </c>
      <c r="S24" s="14" t="b">
        <v>1</v>
      </c>
      <c r="T24" s="4" t="s">
        <v>13</v>
      </c>
      <c r="U24" s="4"/>
      <c r="V24" s="4"/>
    </row>
    <row r="25" spans="1:41" x14ac:dyDescent="0.3">
      <c r="A25" s="25" t="s">
        <v>133</v>
      </c>
      <c r="B25" s="4"/>
      <c r="C25" s="4" t="s">
        <v>13</v>
      </c>
      <c r="D25" s="4" t="s">
        <v>18</v>
      </c>
      <c r="E25" s="4"/>
      <c r="F25" s="14" t="b">
        <v>1</v>
      </c>
      <c r="G25" s="14" t="b">
        <v>0</v>
      </c>
      <c r="H25" s="4"/>
      <c r="I25" s="4"/>
      <c r="J25" s="14" t="b">
        <v>1</v>
      </c>
      <c r="K25" s="14" t="b">
        <v>0</v>
      </c>
      <c r="L25" s="4"/>
      <c r="M25" s="4"/>
      <c r="N25" s="14" t="b">
        <v>1</v>
      </c>
      <c r="O25" s="14" t="b">
        <v>0</v>
      </c>
      <c r="P25" s="4"/>
      <c r="Q25" s="4" t="s">
        <v>172</v>
      </c>
      <c r="R25" s="14" t="b">
        <v>1</v>
      </c>
      <c r="S25" s="14" t="b">
        <v>0</v>
      </c>
      <c r="T25" s="4"/>
      <c r="U25" s="4"/>
      <c r="V25" s="4"/>
    </row>
    <row r="26" spans="1:41" x14ac:dyDescent="0.3">
      <c r="A26" s="25" t="s">
        <v>134</v>
      </c>
      <c r="B26" s="4"/>
      <c r="C26" s="4" t="s">
        <v>13</v>
      </c>
      <c r="D26" s="4" t="s">
        <v>18</v>
      </c>
      <c r="E26" s="4"/>
      <c r="F26" s="14" t="b">
        <v>1</v>
      </c>
      <c r="G26" s="14" t="b">
        <v>0</v>
      </c>
      <c r="H26" s="4"/>
      <c r="I26" s="4"/>
      <c r="J26" s="14" t="b">
        <v>1</v>
      </c>
      <c r="K26" s="14" t="b">
        <v>0</v>
      </c>
      <c r="L26" s="4"/>
      <c r="M26" s="4"/>
      <c r="N26" s="14" t="b">
        <v>1</v>
      </c>
      <c r="O26" s="14" t="b">
        <v>0</v>
      </c>
      <c r="P26" s="4"/>
      <c r="Q26" s="4"/>
      <c r="R26" s="14" t="b">
        <v>1</v>
      </c>
      <c r="S26" s="14" t="b">
        <v>0</v>
      </c>
      <c r="T26" s="4"/>
      <c r="U26" s="4"/>
      <c r="V26" s="4"/>
    </row>
    <row r="27" spans="1:41" x14ac:dyDescent="0.3">
      <c r="A27" s="25" t="s">
        <v>135</v>
      </c>
      <c r="B27" s="4"/>
      <c r="C27" s="4" t="s">
        <v>13</v>
      </c>
      <c r="D27" s="4" t="s">
        <v>18</v>
      </c>
      <c r="E27" s="4"/>
      <c r="F27" s="14" t="b">
        <v>1</v>
      </c>
      <c r="G27" s="14" t="b">
        <v>0</v>
      </c>
      <c r="H27" s="4"/>
      <c r="I27" s="4" t="s">
        <v>152</v>
      </c>
      <c r="J27" s="14" t="b">
        <v>0</v>
      </c>
      <c r="K27" s="14" t="b">
        <v>1</v>
      </c>
      <c r="L27" s="4" t="s">
        <v>147</v>
      </c>
      <c r="M27" s="4"/>
      <c r="N27" s="14" t="b">
        <v>0</v>
      </c>
      <c r="O27" s="14" t="b">
        <v>1</v>
      </c>
      <c r="P27" s="4" t="s">
        <v>159</v>
      </c>
      <c r="Q27" s="4" t="s">
        <v>173</v>
      </c>
      <c r="R27" s="14" t="b">
        <v>0</v>
      </c>
      <c r="S27" s="14" t="b">
        <v>1</v>
      </c>
      <c r="T27" s="4" t="s">
        <v>13</v>
      </c>
      <c r="U27" s="4"/>
      <c r="V27" s="4"/>
    </row>
    <row r="39" spans="4:5" ht="33.6" x14ac:dyDescent="0.65">
      <c r="D39" s="21" t="s">
        <v>69</v>
      </c>
      <c r="E39" s="22" t="s">
        <v>13</v>
      </c>
    </row>
    <row r="40" spans="4:5" ht="33.6" x14ac:dyDescent="0.65">
      <c r="D40" s="21" t="s">
        <v>70</v>
      </c>
      <c r="E40" s="22" t="s">
        <v>21</v>
      </c>
    </row>
    <row r="41" spans="4:5" ht="33.6" x14ac:dyDescent="0.65">
      <c r="D41" s="21" t="s">
        <v>72</v>
      </c>
      <c r="E41" s="22" t="s">
        <v>28</v>
      </c>
    </row>
    <row r="42" spans="4:5" ht="33.6" x14ac:dyDescent="0.65">
      <c r="D42" s="21" t="s">
        <v>19</v>
      </c>
      <c r="E42" s="22" t="s">
        <v>35</v>
      </c>
    </row>
    <row r="43" spans="4:5" ht="33.6" x14ac:dyDescent="0.65">
      <c r="D43" s="21" t="s">
        <v>20</v>
      </c>
      <c r="E43" s="22" t="s">
        <v>38</v>
      </c>
    </row>
    <row r="44" spans="4:5" ht="33.6" x14ac:dyDescent="0.65">
      <c r="D44" s="21" t="s">
        <v>22</v>
      </c>
      <c r="E44" s="22" t="s">
        <v>18</v>
      </c>
    </row>
    <row r="45" spans="4:5" ht="33.6" x14ac:dyDescent="0.65">
      <c r="D45" s="21" t="s">
        <v>24</v>
      </c>
      <c r="E45" s="22" t="s">
        <v>58</v>
      </c>
    </row>
    <row r="46" spans="4:5" ht="31.2" x14ac:dyDescent="0.6">
      <c r="D46" s="21" t="s">
        <v>26</v>
      </c>
      <c r="E46" s="21" t="s">
        <v>41</v>
      </c>
    </row>
    <row r="47" spans="4:5" ht="31.2" x14ac:dyDescent="0.6">
      <c r="D47" s="21" t="s">
        <v>75</v>
      </c>
      <c r="E47" s="21" t="s">
        <v>80</v>
      </c>
    </row>
    <row r="48" spans="4:5" ht="31.2" x14ac:dyDescent="0.6">
      <c r="D48" s="21" t="s">
        <v>31</v>
      </c>
      <c r="E48" s="21" t="s">
        <v>81</v>
      </c>
    </row>
    <row r="49" spans="4:5" ht="31.2" x14ac:dyDescent="0.6">
      <c r="D49" s="21" t="s">
        <v>76</v>
      </c>
      <c r="E49" s="21" t="s">
        <v>82</v>
      </c>
    </row>
    <row r="50" spans="4:5" ht="31.2" x14ac:dyDescent="0.6">
      <c r="D50" s="21" t="s">
        <v>32</v>
      </c>
      <c r="E50" s="21" t="s">
        <v>57</v>
      </c>
    </row>
    <row r="51" spans="4:5" ht="31.2" x14ac:dyDescent="0.6">
      <c r="D51" s="21" t="s">
        <v>77</v>
      </c>
      <c r="E51" s="21" t="s">
        <v>83</v>
      </c>
    </row>
    <row r="52" spans="4:5" ht="31.2" x14ac:dyDescent="0.6">
      <c r="D52" s="21" t="s">
        <v>74</v>
      </c>
      <c r="E52" s="21" t="s">
        <v>84</v>
      </c>
    </row>
    <row r="53" spans="4:5" ht="31.2" x14ac:dyDescent="0.6">
      <c r="D53" s="21" t="s">
        <v>36</v>
      </c>
      <c r="E53" s="21" t="s">
        <v>85</v>
      </c>
    </row>
    <row r="54" spans="4:5" ht="31.2" x14ac:dyDescent="0.6">
      <c r="D54" s="21" t="s">
        <v>73</v>
      </c>
    </row>
    <row r="55" spans="4:5" ht="31.2" x14ac:dyDescent="0.6">
      <c r="D55" s="21" t="s">
        <v>37</v>
      </c>
    </row>
    <row r="56" spans="4:5" ht="31.2" x14ac:dyDescent="0.6">
      <c r="D56" s="21" t="s">
        <v>40</v>
      </c>
    </row>
    <row r="57" spans="4:5" ht="31.2" x14ac:dyDescent="0.6">
      <c r="D57" s="21" t="s">
        <v>78</v>
      </c>
    </row>
    <row r="58" spans="4:5" ht="31.2" x14ac:dyDescent="0.6">
      <c r="D58" s="21" t="s">
        <v>79</v>
      </c>
    </row>
    <row r="59" spans="4:5" ht="31.2" x14ac:dyDescent="0.6">
      <c r="D59" s="21"/>
    </row>
    <row r="60" spans="4:5" ht="31.2" x14ac:dyDescent="0.6">
      <c r="D60" s="21"/>
    </row>
    <row r="61" spans="4:5" ht="31.2" x14ac:dyDescent="0.6">
      <c r="D61" s="21"/>
    </row>
    <row r="62" spans="4:5" ht="31.2" x14ac:dyDescent="0.6">
      <c r="D62" s="21"/>
    </row>
    <row r="63" spans="4:5" ht="31.2" x14ac:dyDescent="0.6">
      <c r="D63" s="21"/>
    </row>
    <row r="64" spans="4:5" ht="31.2" x14ac:dyDescent="0.6">
      <c r="D64" s="21"/>
    </row>
    <row r="65" spans="4:4" ht="31.2" x14ac:dyDescent="0.6">
      <c r="D65" s="21"/>
    </row>
    <row r="66" spans="4:4" ht="31.2" x14ac:dyDescent="0.6">
      <c r="D66" s="21"/>
    </row>
  </sheetData>
  <mergeCells count="9">
    <mergeCell ref="C2:D2"/>
    <mergeCell ref="F2:G2"/>
    <mergeCell ref="E1:H1"/>
    <mergeCell ref="R2:S2"/>
    <mergeCell ref="Q1:T1"/>
    <mergeCell ref="J2:K2"/>
    <mergeCell ref="I1:L1"/>
    <mergeCell ref="M1:P1"/>
    <mergeCell ref="N2:O2"/>
  </mergeCells>
  <pageMargins left="0.22" right="0.1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0C26-6977-44E0-8C8D-AD4625C2E8E0}">
  <dimension ref="A1:CI28"/>
  <sheetViews>
    <sheetView tabSelected="1" workbookViewId="0">
      <selection activeCell="A18" sqref="A18"/>
    </sheetView>
  </sheetViews>
  <sheetFormatPr baseColWidth="10" defaultRowHeight="14.4" x14ac:dyDescent="0.3"/>
  <cols>
    <col min="3" max="3" width="20.109375" customWidth="1"/>
    <col min="4" max="4" width="15.5546875" customWidth="1"/>
    <col min="5" max="5" width="17.6640625" customWidth="1"/>
    <col min="6" max="6" width="19.5546875" customWidth="1"/>
    <col min="9" max="9" width="16.109375" customWidth="1"/>
    <col min="10" max="10" width="17.6640625" customWidth="1"/>
    <col min="12" max="12" width="26.109375" customWidth="1"/>
  </cols>
  <sheetData>
    <row r="1" spans="1:87" ht="15.6" x14ac:dyDescent="0.3">
      <c r="A1" s="15" t="s">
        <v>86</v>
      </c>
      <c r="B1" s="44" t="s">
        <v>68</v>
      </c>
      <c r="C1" s="45"/>
      <c r="D1" s="44" t="s">
        <v>90</v>
      </c>
      <c r="E1" s="45"/>
      <c r="F1" s="38" t="s">
        <v>183</v>
      </c>
      <c r="G1" s="38" t="s">
        <v>184</v>
      </c>
      <c r="H1" s="38" t="s">
        <v>185</v>
      </c>
      <c r="I1" s="38" t="s">
        <v>186</v>
      </c>
      <c r="J1" s="44" t="s">
        <v>91</v>
      </c>
      <c r="K1" s="45"/>
      <c r="L1" s="59" t="s">
        <v>197</v>
      </c>
    </row>
    <row r="2" spans="1:87" ht="15.6" x14ac:dyDescent="0.3">
      <c r="A2" s="33"/>
      <c r="B2" s="20" t="s">
        <v>66</v>
      </c>
      <c r="C2" s="20" t="s">
        <v>67</v>
      </c>
      <c r="D2" s="3" t="s">
        <v>6</v>
      </c>
      <c r="E2" s="3" t="s">
        <v>7</v>
      </c>
      <c r="F2" s="50" t="s">
        <v>62</v>
      </c>
      <c r="G2" s="51"/>
      <c r="H2" s="51"/>
      <c r="I2" s="52"/>
      <c r="J2" s="18" t="s">
        <v>88</v>
      </c>
      <c r="K2" s="18" t="s">
        <v>89</v>
      </c>
      <c r="L2" s="18"/>
      <c r="N2" s="27" t="s">
        <v>92</v>
      </c>
      <c r="O2">
        <v>4</v>
      </c>
    </row>
    <row r="3" spans="1:87" x14ac:dyDescent="0.3">
      <c r="A3" s="13" t="s">
        <v>41</v>
      </c>
      <c r="B3" s="4" t="s">
        <v>18</v>
      </c>
      <c r="C3" s="4" t="s">
        <v>18</v>
      </c>
      <c r="D3" s="11" t="s">
        <v>45</v>
      </c>
      <c r="E3" s="12" t="s">
        <v>29</v>
      </c>
      <c r="F3" s="14" t="b">
        <v>1</v>
      </c>
      <c r="G3" s="14" t="b">
        <v>1</v>
      </c>
      <c r="H3" s="14" t="b">
        <v>1</v>
      </c>
      <c r="I3" s="14" t="b">
        <v>1</v>
      </c>
      <c r="J3" s="2">
        <f>COUNTIF(F3:I3,TRUE)</f>
        <v>4</v>
      </c>
      <c r="K3" s="2">
        <f>+ROUND((J3/$O$2)*100,2)</f>
        <v>100</v>
      </c>
      <c r="L3" s="2"/>
    </row>
    <row r="4" spans="1:87" x14ac:dyDescent="0.3">
      <c r="A4" s="13" t="s">
        <v>46</v>
      </c>
      <c r="B4" s="4" t="s">
        <v>18</v>
      </c>
      <c r="C4" s="4" t="s">
        <v>13</v>
      </c>
      <c r="D4" s="6"/>
      <c r="E4" s="4"/>
      <c r="F4" s="14" t="b">
        <v>1</v>
      </c>
      <c r="G4" s="14" t="b">
        <v>1</v>
      </c>
      <c r="H4" s="14" t="b">
        <v>1</v>
      </c>
      <c r="I4" s="14" t="b">
        <v>1</v>
      </c>
      <c r="J4" s="2">
        <f>COUNTIF(F4:I4,TRUE)</f>
        <v>4</v>
      </c>
      <c r="K4" s="2">
        <f t="shared" ref="K4:K26" si="0">+ROUND((J4/$O$2)*100,2)</f>
        <v>100</v>
      </c>
      <c r="L4" s="2"/>
    </row>
    <row r="5" spans="1:87" x14ac:dyDescent="0.3">
      <c r="A5" s="13" t="s">
        <v>49</v>
      </c>
      <c r="B5" s="4" t="s">
        <v>18</v>
      </c>
      <c r="C5" s="4" t="s">
        <v>18</v>
      </c>
      <c r="D5" s="9" t="s">
        <v>52</v>
      </c>
      <c r="E5" s="4"/>
      <c r="F5" s="14" t="b">
        <v>1</v>
      </c>
      <c r="G5" s="14" t="b">
        <v>1</v>
      </c>
      <c r="H5" s="14" t="b">
        <v>1</v>
      </c>
      <c r="I5" s="14" t="b">
        <v>1</v>
      </c>
      <c r="J5" s="2">
        <f>COUNTIF(F5:I5,TRUE)</f>
        <v>4</v>
      </c>
      <c r="K5" s="2">
        <f t="shared" si="0"/>
        <v>100</v>
      </c>
      <c r="L5" s="2"/>
    </row>
    <row r="6" spans="1:87" s="26" customFormat="1" ht="15" thickBot="1" x14ac:dyDescent="0.35">
      <c r="A6" s="13" t="s">
        <v>53</v>
      </c>
      <c r="B6" s="4" t="s">
        <v>18</v>
      </c>
      <c r="C6" s="4" t="s">
        <v>18</v>
      </c>
      <c r="D6" s="6" t="s">
        <v>52</v>
      </c>
      <c r="E6" s="4"/>
      <c r="F6" s="14" t="b">
        <v>1</v>
      </c>
      <c r="G6" s="14" t="b">
        <v>1</v>
      </c>
      <c r="H6" s="14" t="b">
        <v>1</v>
      </c>
      <c r="I6" s="14" t="b">
        <v>0</v>
      </c>
      <c r="J6" s="2">
        <f>COUNTIF(F6:I6,TRUE)</f>
        <v>3</v>
      </c>
      <c r="K6" s="2">
        <f>+ROUND((J6/$O$2)*100,2)</f>
        <v>75</v>
      </c>
      <c r="L6" s="2" t="s">
        <v>13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</row>
    <row r="7" spans="1:87" x14ac:dyDescent="0.3">
      <c r="A7" s="13" t="s">
        <v>95</v>
      </c>
      <c r="B7" s="4" t="s">
        <v>18</v>
      </c>
      <c r="C7" s="4" t="s">
        <v>18</v>
      </c>
      <c r="D7" s="6"/>
      <c r="E7" s="4"/>
      <c r="F7" s="14" t="b">
        <v>1</v>
      </c>
      <c r="G7" s="14" t="b">
        <v>1</v>
      </c>
      <c r="H7" s="14" t="b">
        <v>0</v>
      </c>
      <c r="I7" s="14" t="b">
        <v>1</v>
      </c>
      <c r="J7" s="2">
        <f>COUNTIF(F7:I7,TRUE)</f>
        <v>3</v>
      </c>
      <c r="K7" s="2">
        <f t="shared" si="0"/>
        <v>75</v>
      </c>
      <c r="L7" s="2" t="s">
        <v>191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</row>
    <row r="8" spans="1:87" x14ac:dyDescent="0.3">
      <c r="A8" s="13" t="s">
        <v>106</v>
      </c>
      <c r="B8" s="4" t="s">
        <v>13</v>
      </c>
      <c r="C8" s="4" t="s">
        <v>18</v>
      </c>
      <c r="D8" s="4"/>
      <c r="E8" s="4"/>
      <c r="F8" s="14" t="b">
        <v>1</v>
      </c>
      <c r="G8" s="14" t="b">
        <v>0</v>
      </c>
      <c r="H8" s="14" t="b">
        <v>0</v>
      </c>
      <c r="I8" s="14" t="b">
        <v>0</v>
      </c>
      <c r="J8" s="2">
        <f>COUNTIF(F8:I8,TRUE)</f>
        <v>1</v>
      </c>
      <c r="K8" s="2">
        <f t="shared" si="0"/>
        <v>25</v>
      </c>
      <c r="L8" s="2" t="s">
        <v>187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</row>
    <row r="9" spans="1:87" x14ac:dyDescent="0.3">
      <c r="A9" s="13" t="s">
        <v>98</v>
      </c>
      <c r="B9" s="4" t="s">
        <v>13</v>
      </c>
      <c r="C9" s="4" t="s">
        <v>18</v>
      </c>
      <c r="D9" s="31" t="s">
        <v>101</v>
      </c>
      <c r="E9" s="4"/>
      <c r="F9" s="14" t="b">
        <v>1</v>
      </c>
      <c r="G9" s="14" t="b">
        <v>0</v>
      </c>
      <c r="H9" s="14" t="b">
        <v>1</v>
      </c>
      <c r="I9" s="14" t="b">
        <v>0</v>
      </c>
      <c r="J9" s="2">
        <f>COUNTIF(F9:I9,TRUE)</f>
        <v>2</v>
      </c>
      <c r="K9" s="2">
        <f t="shared" si="0"/>
        <v>50</v>
      </c>
      <c r="L9" s="2" t="s">
        <v>188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</row>
    <row r="10" spans="1:87" s="26" customFormat="1" ht="15" thickBot="1" x14ac:dyDescent="0.35">
      <c r="A10" s="13" t="s">
        <v>102</v>
      </c>
      <c r="B10" s="4" t="s">
        <v>28</v>
      </c>
      <c r="C10" s="4" t="s">
        <v>18</v>
      </c>
      <c r="D10" s="6"/>
      <c r="E10" s="4"/>
      <c r="F10" s="14" t="b">
        <v>1</v>
      </c>
      <c r="G10" s="14" t="b">
        <v>1</v>
      </c>
      <c r="H10" s="14" t="b">
        <v>1</v>
      </c>
      <c r="I10" s="14" t="b">
        <v>0</v>
      </c>
      <c r="J10" s="2">
        <f>COUNTIF(F10:I10,TRUE)</f>
        <v>3</v>
      </c>
      <c r="K10" s="2">
        <f t="shared" si="0"/>
        <v>75</v>
      </c>
      <c r="L10" s="2" t="s">
        <v>28</v>
      </c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</row>
    <row r="11" spans="1:87" x14ac:dyDescent="0.3">
      <c r="A11" s="13" t="s">
        <v>110</v>
      </c>
      <c r="B11" s="4" t="s">
        <v>18</v>
      </c>
      <c r="C11" s="4" t="s">
        <v>18</v>
      </c>
      <c r="D11" s="7" t="s">
        <v>30</v>
      </c>
      <c r="E11" s="4"/>
      <c r="F11" s="14" t="b">
        <v>1</v>
      </c>
      <c r="G11" s="14" t="b">
        <v>1</v>
      </c>
      <c r="H11" s="14" t="b">
        <v>0</v>
      </c>
      <c r="I11" s="14" t="b">
        <v>0</v>
      </c>
      <c r="J11" s="2">
        <f>COUNTIF(F11:I11,TRUE)</f>
        <v>2</v>
      </c>
      <c r="K11" s="2">
        <f t="shared" si="0"/>
        <v>50</v>
      </c>
      <c r="L11" s="2" t="s">
        <v>28</v>
      </c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</row>
    <row r="12" spans="1:87" x14ac:dyDescent="0.3">
      <c r="A12" s="13" t="s">
        <v>111</v>
      </c>
      <c r="B12" s="4" t="s">
        <v>18</v>
      </c>
      <c r="C12" s="4" t="s">
        <v>18</v>
      </c>
      <c r="D12" s="7" t="s">
        <v>122</v>
      </c>
      <c r="E12" s="4"/>
      <c r="F12" s="14" t="b">
        <v>1</v>
      </c>
      <c r="G12" s="14" t="b">
        <v>1</v>
      </c>
      <c r="H12" s="14" t="b">
        <v>1</v>
      </c>
      <c r="I12" s="14" t="b">
        <v>1</v>
      </c>
      <c r="J12" s="2">
        <f>COUNTIF(F12:I12,TRUE)</f>
        <v>4</v>
      </c>
      <c r="K12" s="2">
        <f t="shared" si="0"/>
        <v>100</v>
      </c>
      <c r="L12" s="2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</row>
    <row r="13" spans="1:87" x14ac:dyDescent="0.3">
      <c r="A13" s="13" t="s">
        <v>112</v>
      </c>
      <c r="B13" s="4" t="s">
        <v>18</v>
      </c>
      <c r="C13" s="4" t="s">
        <v>13</v>
      </c>
      <c r="D13" s="39" t="s">
        <v>123</v>
      </c>
      <c r="E13" s="4"/>
      <c r="F13" s="14" t="b">
        <v>1</v>
      </c>
      <c r="G13" s="14" t="b">
        <v>1</v>
      </c>
      <c r="H13" s="14" t="b">
        <v>1</v>
      </c>
      <c r="I13" s="14" t="b">
        <v>1</v>
      </c>
      <c r="J13" s="2">
        <f>COUNTIF(F13:I13,TRUE)</f>
        <v>4</v>
      </c>
      <c r="K13" s="2">
        <f t="shared" si="0"/>
        <v>100</v>
      </c>
      <c r="L13" s="2" t="s">
        <v>38</v>
      </c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</row>
    <row r="14" spans="1:87" s="26" customFormat="1" ht="15" thickBot="1" x14ac:dyDescent="0.35">
      <c r="A14" s="13" t="s">
        <v>113</v>
      </c>
      <c r="B14" s="4" t="s">
        <v>18</v>
      </c>
      <c r="C14" s="4" t="s">
        <v>18</v>
      </c>
      <c r="D14" s="9" t="s">
        <v>59</v>
      </c>
      <c r="E14" s="8" t="s">
        <v>30</v>
      </c>
      <c r="F14" s="14" t="b">
        <v>1</v>
      </c>
      <c r="G14" s="14" t="b">
        <v>1</v>
      </c>
      <c r="H14" s="14" t="b">
        <v>0</v>
      </c>
      <c r="I14" s="14" t="b">
        <v>1</v>
      </c>
      <c r="J14" s="2">
        <f>COUNTIF(F14:I14,TRUE)</f>
        <v>3</v>
      </c>
      <c r="K14" s="2">
        <f t="shared" si="0"/>
        <v>75</v>
      </c>
      <c r="L14" s="2" t="s">
        <v>189</v>
      </c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</row>
    <row r="15" spans="1:87" x14ac:dyDescent="0.3">
      <c r="A15" s="13" t="s">
        <v>114</v>
      </c>
      <c r="B15" s="4" t="s">
        <v>18</v>
      </c>
      <c r="C15" s="4" t="s">
        <v>18</v>
      </c>
      <c r="D15" s="6" t="s">
        <v>124</v>
      </c>
      <c r="E15" s="4"/>
      <c r="F15" s="14" t="b">
        <v>0</v>
      </c>
      <c r="G15" s="14" t="b">
        <v>1</v>
      </c>
      <c r="H15" s="14" t="b">
        <v>0</v>
      </c>
      <c r="I15" s="14" t="b">
        <v>0</v>
      </c>
      <c r="J15" s="2">
        <f>COUNTIF(F15:I15,TRUE)</f>
        <v>1</v>
      </c>
      <c r="K15" s="2">
        <f t="shared" si="0"/>
        <v>25</v>
      </c>
      <c r="L15" s="2" t="s">
        <v>190</v>
      </c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</row>
    <row r="16" spans="1:87" x14ac:dyDescent="0.3">
      <c r="A16" s="13" t="s">
        <v>115</v>
      </c>
      <c r="B16" s="4" t="s">
        <v>18</v>
      </c>
      <c r="C16" s="4" t="s">
        <v>18</v>
      </c>
      <c r="D16" s="40" t="s">
        <v>12</v>
      </c>
      <c r="E16" s="8" t="s">
        <v>30</v>
      </c>
      <c r="F16" s="14" t="b">
        <v>1</v>
      </c>
      <c r="G16" s="14" t="b">
        <v>1</v>
      </c>
      <c r="H16" s="14" t="b">
        <v>0</v>
      </c>
      <c r="I16" s="14" t="b">
        <v>1</v>
      </c>
      <c r="J16" s="2">
        <f>COUNTIF(F16:I16,TRUE)</f>
        <v>3</v>
      </c>
      <c r="K16" s="2">
        <f t="shared" si="0"/>
        <v>75</v>
      </c>
      <c r="L16" s="2" t="s">
        <v>192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</row>
    <row r="17" spans="1:87" x14ac:dyDescent="0.3">
      <c r="A17" s="25" t="s">
        <v>93</v>
      </c>
      <c r="B17" s="4" t="s">
        <v>35</v>
      </c>
      <c r="C17" s="4" t="s">
        <v>18</v>
      </c>
      <c r="D17" s="9" t="s">
        <v>30</v>
      </c>
      <c r="E17" s="40" t="s">
        <v>30</v>
      </c>
      <c r="F17" s="14" t="b">
        <v>0</v>
      </c>
      <c r="G17" s="14" t="b">
        <v>1</v>
      </c>
      <c r="H17" s="14" t="b">
        <v>0</v>
      </c>
      <c r="I17" s="14" t="b">
        <v>0</v>
      </c>
      <c r="J17" s="2">
        <f>COUNTIF(F17:I17,TRUE)</f>
        <v>1</v>
      </c>
      <c r="K17" s="2">
        <f t="shared" si="0"/>
        <v>25</v>
      </c>
      <c r="L17" s="2" t="s">
        <v>193</v>
      </c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</row>
    <row r="18" spans="1:87" s="26" customFormat="1" ht="15" thickBot="1" x14ac:dyDescent="0.35">
      <c r="A18" s="25" t="s">
        <v>125</v>
      </c>
      <c r="B18" s="4" t="s">
        <v>28</v>
      </c>
      <c r="C18" s="4" t="s">
        <v>18</v>
      </c>
      <c r="D18" s="40" t="s">
        <v>128</v>
      </c>
      <c r="E18" s="8" t="s">
        <v>129</v>
      </c>
      <c r="F18" s="14" t="b">
        <v>0</v>
      </c>
      <c r="G18" s="14" t="b">
        <v>0</v>
      </c>
      <c r="H18" s="14" t="b">
        <v>0</v>
      </c>
      <c r="I18" s="14" t="b">
        <v>0</v>
      </c>
      <c r="J18" s="2">
        <f>COUNTIF(F18:I18,TRUE)</f>
        <v>0</v>
      </c>
      <c r="K18" s="2">
        <f t="shared" si="0"/>
        <v>0</v>
      </c>
      <c r="L18" s="2" t="s">
        <v>194</v>
      </c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</row>
    <row r="19" spans="1:87" x14ac:dyDescent="0.3">
      <c r="A19" s="25" t="s">
        <v>126</v>
      </c>
      <c r="B19" s="4" t="s">
        <v>13</v>
      </c>
      <c r="C19" s="4" t="s">
        <v>18</v>
      </c>
      <c r="D19" s="4"/>
      <c r="E19" s="4"/>
      <c r="F19" s="14" t="b">
        <v>1</v>
      </c>
      <c r="G19" s="14" t="b">
        <v>0</v>
      </c>
      <c r="H19" s="14" t="b">
        <v>1</v>
      </c>
      <c r="I19" s="14" t="b">
        <v>1</v>
      </c>
      <c r="J19" s="2">
        <f>COUNTIF(F19:I19,TRUE)</f>
        <v>3</v>
      </c>
      <c r="K19" s="2">
        <f t="shared" si="0"/>
        <v>75</v>
      </c>
      <c r="L19" s="2" t="s">
        <v>13</v>
      </c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</row>
    <row r="20" spans="1:87" x14ac:dyDescent="0.3">
      <c r="A20" s="25" t="s">
        <v>127</v>
      </c>
      <c r="B20" s="4" t="s">
        <v>13</v>
      </c>
      <c r="C20" s="4" t="s">
        <v>18</v>
      </c>
      <c r="D20" s="9" t="s">
        <v>59</v>
      </c>
      <c r="E20" s="4"/>
      <c r="F20" s="14" t="b">
        <v>1</v>
      </c>
      <c r="G20" s="14" t="b">
        <v>1</v>
      </c>
      <c r="H20" s="14" t="b">
        <v>1</v>
      </c>
      <c r="I20" s="14" t="b">
        <v>0</v>
      </c>
      <c r="J20" s="2">
        <f>COUNTIF(F20:I20,TRUE)</f>
        <v>3</v>
      </c>
      <c r="K20" s="2">
        <f t="shared" si="0"/>
        <v>75</v>
      </c>
      <c r="L20" s="2" t="s">
        <v>176</v>
      </c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</row>
    <row r="21" spans="1:87" x14ac:dyDescent="0.3">
      <c r="A21" s="25" t="s">
        <v>130</v>
      </c>
      <c r="B21" s="4" t="s">
        <v>38</v>
      </c>
      <c r="C21" s="4" t="s">
        <v>18</v>
      </c>
      <c r="D21" s="6"/>
      <c r="E21" s="4"/>
      <c r="F21" s="14" t="b">
        <v>1</v>
      </c>
      <c r="G21" s="14" t="b">
        <v>1</v>
      </c>
      <c r="H21" s="14" t="b">
        <v>1</v>
      </c>
      <c r="I21" s="14" t="b">
        <v>1</v>
      </c>
      <c r="J21" s="2">
        <f>COUNTIF(F21:I21,TRUE)</f>
        <v>4</v>
      </c>
      <c r="K21" s="2">
        <f t="shared" si="0"/>
        <v>100</v>
      </c>
      <c r="L21" s="2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</row>
    <row r="22" spans="1:87" x14ac:dyDescent="0.3">
      <c r="A22" s="25" t="s">
        <v>131</v>
      </c>
      <c r="B22" s="4" t="s">
        <v>28</v>
      </c>
      <c r="C22" s="4" t="s">
        <v>18</v>
      </c>
      <c r="D22" s="9" t="s">
        <v>177</v>
      </c>
      <c r="E22" s="4"/>
      <c r="F22" s="14" t="b">
        <v>1</v>
      </c>
      <c r="G22" s="14" t="b">
        <v>1</v>
      </c>
      <c r="H22" s="14" t="b">
        <v>1</v>
      </c>
      <c r="I22" s="14" t="b">
        <v>0</v>
      </c>
      <c r="J22" s="2">
        <f>COUNTIF(F22:I22,TRUE)</f>
        <v>3</v>
      </c>
      <c r="K22" s="2">
        <f t="shared" si="0"/>
        <v>75</v>
      </c>
      <c r="L22" s="2" t="s">
        <v>28</v>
      </c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</row>
    <row r="23" spans="1:87" x14ac:dyDescent="0.3">
      <c r="A23" s="25" t="s">
        <v>132</v>
      </c>
      <c r="B23" s="4" t="s">
        <v>13</v>
      </c>
      <c r="C23" s="4" t="s">
        <v>18</v>
      </c>
      <c r="D23" s="4"/>
      <c r="E23" s="4"/>
      <c r="F23" s="14" t="b">
        <v>1</v>
      </c>
      <c r="G23" s="14" t="b">
        <v>0</v>
      </c>
      <c r="H23" s="14" t="b">
        <v>1</v>
      </c>
      <c r="I23" s="14" t="b">
        <v>0</v>
      </c>
      <c r="J23" s="2">
        <f>COUNTIF(F23:I23,TRUE)</f>
        <v>2</v>
      </c>
      <c r="K23" s="2">
        <f t="shared" si="0"/>
        <v>50</v>
      </c>
      <c r="L23" s="2" t="s">
        <v>195</v>
      </c>
    </row>
    <row r="24" spans="1:87" x14ac:dyDescent="0.3">
      <c r="A24" s="25" t="s">
        <v>133</v>
      </c>
      <c r="B24" s="4" t="s">
        <v>13</v>
      </c>
      <c r="C24" s="4" t="s">
        <v>18</v>
      </c>
      <c r="D24" s="55" t="s">
        <v>178</v>
      </c>
      <c r="E24" s="4"/>
      <c r="F24" s="14" t="b">
        <v>1</v>
      </c>
      <c r="G24" s="14" t="b">
        <v>1</v>
      </c>
      <c r="H24" s="14" t="b">
        <v>1</v>
      </c>
      <c r="I24" s="14" t="b">
        <v>1</v>
      </c>
      <c r="J24" s="2">
        <f>COUNTIF(F24:I24,TRUE)</f>
        <v>4</v>
      </c>
      <c r="K24" s="2">
        <f t="shared" si="0"/>
        <v>100</v>
      </c>
      <c r="L24" s="2" t="s">
        <v>108</v>
      </c>
    </row>
    <row r="25" spans="1:87" x14ac:dyDescent="0.3">
      <c r="A25" s="25" t="s">
        <v>134</v>
      </c>
      <c r="B25" s="4" t="s">
        <v>13</v>
      </c>
      <c r="C25" s="4" t="s">
        <v>18</v>
      </c>
      <c r="D25" s="6"/>
      <c r="E25" s="4"/>
      <c r="F25" s="14" t="b">
        <v>1</v>
      </c>
      <c r="G25" s="14" t="b">
        <v>1</v>
      </c>
      <c r="H25" s="14" t="b">
        <v>1</v>
      </c>
      <c r="I25" s="14" t="b">
        <v>1</v>
      </c>
      <c r="J25" s="2">
        <f>COUNTIF(F25:I25,TRUE)</f>
        <v>4</v>
      </c>
      <c r="K25" s="2">
        <f t="shared" si="0"/>
        <v>100</v>
      </c>
      <c r="L25" s="2"/>
    </row>
    <row r="26" spans="1:87" x14ac:dyDescent="0.3">
      <c r="A26" s="25" t="s">
        <v>135</v>
      </c>
      <c r="B26" s="4" t="s">
        <v>13</v>
      </c>
      <c r="C26" s="4" t="s">
        <v>18</v>
      </c>
      <c r="D26" s="6"/>
      <c r="E26" s="4"/>
      <c r="F26" s="14" t="b">
        <v>1</v>
      </c>
      <c r="G26" s="14" t="b">
        <v>0</v>
      </c>
      <c r="H26" s="14" t="b">
        <v>0</v>
      </c>
      <c r="I26" s="14" t="b">
        <v>0</v>
      </c>
      <c r="J26" s="2">
        <f>COUNTIF(F26:I26,TRUE)</f>
        <v>1</v>
      </c>
      <c r="K26" s="2">
        <f t="shared" si="0"/>
        <v>25</v>
      </c>
      <c r="L26" s="2" t="s">
        <v>196</v>
      </c>
    </row>
    <row r="28" spans="1:87" x14ac:dyDescent="0.3">
      <c r="J28" s="58" t="s">
        <v>198</v>
      </c>
      <c r="K28" s="57">
        <f>+AVERAGEA(K3:K26)</f>
        <v>68.75</v>
      </c>
    </row>
  </sheetData>
  <mergeCells count="4">
    <mergeCell ref="J1:K1"/>
    <mergeCell ref="F2:I2"/>
    <mergeCell ref="B1:C1"/>
    <mergeCell ref="D1:E1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c3d0f882-8463-4fc8-8c93-fe9e190ec3f5}" enabled="1" method="Standard" siteId="{7c07b8b6-a28d-424b-8eb6-3de456e898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Übersicht</vt:lpstr>
      <vt:lpstr>Vorlage</vt:lpstr>
      <vt:lpstr>Auswertung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 Melanie</dc:creator>
  <cp:lastModifiedBy>JANK Melanie</cp:lastModifiedBy>
  <cp:lastPrinted>2026-07-03T08:18:39Z</cp:lastPrinted>
  <dcterms:created xsi:type="dcterms:W3CDTF">2026-06-11T11:00:29Z</dcterms:created>
  <dcterms:modified xsi:type="dcterms:W3CDTF">2026-07-08T08:44:37Z</dcterms:modified>
</cp:coreProperties>
</file>